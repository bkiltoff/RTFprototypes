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ervice Center\Documents\GitHub\RTFprototypes\Macro File\"/>
    </mc:Choice>
  </mc:AlternateContent>
  <bookViews>
    <workbookView xWindow="290" yWindow="620" windowWidth="12000" windowHeight="5310"/>
  </bookViews>
  <sheets>
    <sheet name="Daily RTF report" sheetId="33" r:id="rId1"/>
    <sheet name="Main" sheetId="16" r:id="rId2"/>
    <sheet name="Index" sheetId="13" r:id="rId3"/>
    <sheet name="Ranked Sections" sheetId="14" state="hidden" r:id="rId4"/>
  </sheets>
  <definedNames>
    <definedName name="_xlnm._FilterDatabase" localSheetId="2" hidden="1">Index!$S$3:$T$79</definedName>
    <definedName name="_xlnm._FilterDatabase" localSheetId="3" hidden="1">'Ranked Sections'!#REF!</definedName>
    <definedName name="callNumMask">Index!$C$1:$C$191</definedName>
  </definedNames>
  <calcPr calcId="152511"/>
  <fileRecoveryPr autoRecover="0"/>
</workbook>
</file>

<file path=xl/calcChain.xml><?xml version="1.0" encoding="utf-8"?>
<calcChain xmlns="http://schemas.openxmlformats.org/spreadsheetml/2006/main">
  <c r="I182" i="13" l="1"/>
  <c r="I181" i="13"/>
  <c r="I180" i="13"/>
  <c r="I179" i="13"/>
  <c r="I178" i="13"/>
  <c r="I177" i="13"/>
  <c r="I176" i="13"/>
  <c r="I175" i="13"/>
  <c r="I174" i="13"/>
  <c r="I173" i="13"/>
  <c r="I172" i="13"/>
  <c r="I171" i="13"/>
  <c r="I170" i="13"/>
  <c r="I169" i="13"/>
  <c r="I168" i="13"/>
  <c r="I167" i="13"/>
  <c r="I166" i="13"/>
  <c r="I165" i="13"/>
  <c r="I164" i="13"/>
  <c r="I163" i="13"/>
  <c r="I162" i="13"/>
  <c r="I161" i="13"/>
  <c r="I160" i="13"/>
  <c r="I159" i="13"/>
  <c r="I158" i="13"/>
  <c r="I157" i="13"/>
  <c r="I156" i="13"/>
  <c r="I155" i="13"/>
  <c r="I154" i="13"/>
  <c r="I153" i="13"/>
  <c r="I152" i="13"/>
  <c r="I151" i="13"/>
  <c r="I150" i="13"/>
  <c r="I149" i="13"/>
  <c r="I148" i="13"/>
  <c r="I147" i="13"/>
  <c r="I146" i="13"/>
  <c r="I145" i="13"/>
  <c r="I144" i="13"/>
  <c r="I143" i="13"/>
  <c r="I142" i="13"/>
  <c r="I141" i="13"/>
  <c r="I140" i="13"/>
  <c r="I139" i="13"/>
  <c r="I138" i="13"/>
  <c r="I137" i="13"/>
  <c r="I136" i="13"/>
  <c r="I135" i="13"/>
  <c r="I134" i="13"/>
  <c r="I133" i="13"/>
  <c r="I132" i="13"/>
  <c r="I131" i="13"/>
  <c r="I130" i="13"/>
  <c r="I129" i="13"/>
  <c r="I128" i="13"/>
  <c r="I127" i="13"/>
  <c r="I126" i="13"/>
  <c r="I125" i="13"/>
  <c r="I124" i="13"/>
  <c r="I123" i="13"/>
  <c r="I122" i="13"/>
  <c r="I121" i="13"/>
  <c r="I120" i="13"/>
  <c r="I119" i="13"/>
  <c r="I118" i="13"/>
  <c r="I117" i="13"/>
  <c r="I116" i="13"/>
  <c r="I115" i="13"/>
  <c r="I114" i="13"/>
  <c r="I113" i="13"/>
  <c r="I112" i="13"/>
  <c r="I111" i="13"/>
  <c r="I110" i="13"/>
  <c r="I109" i="13"/>
  <c r="I108" i="13"/>
  <c r="I107" i="13"/>
  <c r="I106" i="13"/>
  <c r="I105" i="13"/>
  <c r="I104" i="13"/>
  <c r="I103" i="13"/>
  <c r="I102" i="13"/>
  <c r="I101" i="13"/>
  <c r="I100" i="13"/>
  <c r="I99" i="13"/>
  <c r="I98" i="13"/>
  <c r="I97" i="13"/>
  <c r="I96" i="13"/>
  <c r="I95" i="13"/>
  <c r="I94" i="13"/>
  <c r="I93" i="13"/>
  <c r="I92" i="13"/>
  <c r="I91" i="13"/>
  <c r="I90" i="13"/>
  <c r="I89" i="13"/>
  <c r="I88" i="13"/>
  <c r="I87" i="13"/>
  <c r="I86" i="13"/>
  <c r="I85" i="13"/>
  <c r="I84" i="13"/>
  <c r="I83" i="13"/>
  <c r="I82" i="13"/>
  <c r="I81" i="13"/>
  <c r="I80" i="13"/>
  <c r="I79" i="13"/>
  <c r="I78" i="13"/>
  <c r="I77" i="13"/>
  <c r="I76" i="13"/>
  <c r="I75" i="13"/>
  <c r="I74" i="13"/>
  <c r="I73" i="13"/>
  <c r="I72" i="13"/>
  <c r="I71" i="13"/>
  <c r="I70" i="13"/>
  <c r="I69" i="13"/>
  <c r="I68" i="13"/>
  <c r="I67" i="13"/>
  <c r="I66" i="13"/>
  <c r="I65" i="13"/>
  <c r="I64" i="13"/>
  <c r="I63" i="13"/>
  <c r="I62" i="13"/>
  <c r="I61" i="13"/>
  <c r="I60" i="13"/>
  <c r="I59" i="13"/>
  <c r="I58" i="13"/>
  <c r="I57" i="13"/>
  <c r="I56" i="13"/>
  <c r="I55" i="13"/>
  <c r="I54" i="13"/>
  <c r="I53" i="13"/>
  <c r="I52" i="13"/>
  <c r="I51" i="13"/>
  <c r="I50" i="13"/>
  <c r="I49" i="13"/>
  <c r="I48" i="13"/>
  <c r="I47" i="13"/>
  <c r="I46" i="13"/>
  <c r="I45" i="13"/>
  <c r="I44" i="13"/>
  <c r="I43" i="13"/>
  <c r="I42" i="13"/>
  <c r="I41" i="13"/>
  <c r="I40" i="13"/>
  <c r="I39" i="13"/>
  <c r="I38" i="13"/>
  <c r="I37" i="13"/>
  <c r="I36" i="13"/>
  <c r="I35" i="13"/>
  <c r="I34" i="13"/>
  <c r="I33" i="13"/>
  <c r="I32" i="13"/>
  <c r="I31" i="13"/>
  <c r="I30" i="13"/>
  <c r="I29" i="13"/>
  <c r="I28" i="13"/>
  <c r="I27" i="13"/>
  <c r="I26" i="13"/>
  <c r="I25" i="13"/>
  <c r="I24" i="13"/>
  <c r="I23" i="13"/>
  <c r="I22" i="13"/>
  <c r="I21" i="13"/>
  <c r="I20" i="13"/>
  <c r="I19" i="13"/>
  <c r="I18" i="13"/>
  <c r="I17" i="13"/>
  <c r="I16" i="13"/>
  <c r="I15" i="13"/>
  <c r="I14" i="13"/>
  <c r="I13" i="13"/>
  <c r="I12" i="13"/>
  <c r="I11" i="13"/>
  <c r="I10" i="13"/>
  <c r="I9" i="13"/>
  <c r="I8" i="13"/>
  <c r="I7" i="13"/>
  <c r="I6" i="13"/>
  <c r="I5" i="13"/>
  <c r="I4" i="13"/>
  <c r="I3" i="13"/>
  <c r="I2" i="13"/>
  <c r="B191" i="13" l="1"/>
  <c r="C191"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C176" i="13" l="1"/>
  <c r="C177" i="13"/>
  <c r="C178" i="13"/>
  <c r="C179" i="13"/>
  <c r="C170" i="13"/>
  <c r="C180" i="13"/>
  <c r="C181" i="13"/>
  <c r="C182" i="13"/>
  <c r="C104" i="13"/>
  <c r="C105" i="13"/>
  <c r="C106" i="13"/>
  <c r="C107" i="13"/>
  <c r="C108" i="13"/>
  <c r="C109" i="13"/>
  <c r="C110" i="13"/>
  <c r="C111" i="13"/>
  <c r="C112" i="13"/>
  <c r="C113" i="13"/>
  <c r="C114" i="13"/>
  <c r="C127" i="13"/>
  <c r="C174" i="13"/>
  <c r="C175" i="13"/>
  <c r="C172" i="13"/>
  <c r="C173" i="13"/>
  <c r="C39" i="13" l="1"/>
  <c r="C43" i="13"/>
  <c r="C190" i="13" l="1"/>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40" i="13"/>
  <c r="C41" i="13"/>
  <c r="C42"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alcChain>
</file>

<file path=xl/sharedStrings.xml><?xml version="1.0" encoding="utf-8"?>
<sst xmlns="http://schemas.openxmlformats.org/spreadsheetml/2006/main" count="1555" uniqueCount="856">
  <si>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</si>
  <si>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</si>
  <si>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</si>
  <si>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</si>
  <si>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</si>
  <si>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</si>
  <si>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</si>
  <si>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</si>
  <si>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</si>
  <si>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</si>
  <si>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</si>
  <si>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</si>
  <si>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</si>
  <si>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</si>
  <si>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</si>
  <si>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</si>
  <si>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</si>
  <si>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</si>
  <si>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</si>
  <si>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</si>
  <si>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</si>
  <si>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</si>
  <si>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</si>
  <si>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</si>
  <si>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</si>
  <si>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Juvenile Fiction</t>
  </si>
  <si>
    <t>Juvenile DVD</t>
  </si>
  <si>
    <t>Juvenile Compact Disc</t>
  </si>
  <si>
    <t>Easy Countdown</t>
  </si>
  <si>
    <t>Easy</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</si>
  <si>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</si>
  <si>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</si>
  <si>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</si>
  <si>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</si>
  <si>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</si>
  <si>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</si>
  <si>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</si>
  <si>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</si>
  <si>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</si>
  <si>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</si>
  <si>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</si>
  <si>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</si>
  <si>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</si>
  <si>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</si>
  <si>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</si>
  <si>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</si>
  <si>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</si>
  <si>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</si>
  <si>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</si>
  <si>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</si>
  <si>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</si>
  <si>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</si>
  <si>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</si>
  <si>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</si>
  <si>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</si>
  <si>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</si>
  <si>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</si>
  <si>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</si>
  <si>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</si>
  <si>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</si>
  <si>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</si>
  <si>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</si>
  <si>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</si>
  <si>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</si>
  <si>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</si>
  <si>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</si>
  <si>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</si>
  <si>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</si>
  <si>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</si>
  <si>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</si>
  <si>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</si>
  <si>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</si>
  <si>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</si>
  <si>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</si>
  <si>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</si>
  <si>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</si>
  <si>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</si>
  <si>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</si>
  <si>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</si>
  <si>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</si>
  <si>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</si>
  <si>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</si>
  <si>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</si>
  <si>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</si>
  <si>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</si>
  <si>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</si>
  <si>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</si>
  <si>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</si>
  <si>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</si>
  <si>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</si>
  <si>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</si>
  <si>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</si>
  <si>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</si>
  <si>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</si>
  <si>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</si>
  <si>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</si>
  <si>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</si>
  <si>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</si>
  <si>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</si>
  <si>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</si>
  <si>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</si>
  <si>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</si>
  <si>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</si>
  <si>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</si>
  <si>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</si>
  <si>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</si>
  <si>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</si>
  <si>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</si>
  <si>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</si>
  <si>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</si>
  <si>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</si>
  <si>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</si>
  <si>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</si>
  <si>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</si>
  <si>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</si>
  <si>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</si>
  <si>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</si>
  <si>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</si>
  <si>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</si>
  <si>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</si>
  <si>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</si>
  <si>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</si>
  <si>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</si>
  <si>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</si>
  <si>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</si>
  <si>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</si>
  <si>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</si>
  <si>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</si>
  <si>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</si>
  <si>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</si>
  <si>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</si>
  <si>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</si>
  <si>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</si>
  <si>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</si>
  <si>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</si>
  <si>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</si>
  <si>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</si>
  <si>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</si>
  <si>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</si>
  <si>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</si>
  <si>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</si>
  <si>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</si>
  <si>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</si>
  <si>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</si>
  <si>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</si>
  <si>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</si>
  <si>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</si>
  <si>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</si>
  <si>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</si>
  <si>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</si>
  <si>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</si>
  <si>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</si>
  <si>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</si>
  <si>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</si>
  <si>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</si>
  <si>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</si>
  <si>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</si>
  <si>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</si>
  <si>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</si>
  <si>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</si>
  <si>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</si>
  <si>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</si>
  <si>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</si>
  <si>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</si>
  <si>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</si>
  <si>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</si>
  <si>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</si>
  <si>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</si>
  <si>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</si>
  <si>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</si>
  <si>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</si>
  <si>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</si>
  <si>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</si>
  <si>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</si>
  <si>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</si>
  <si>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</si>
  <si>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</si>
  <si>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</si>
  <si>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</si>
  <si>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</si>
  <si>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</si>
  <si>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</si>
  <si>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</si>
  <si>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</si>
  <si>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</si>
  <si>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</si>
  <si>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</si>
  <si>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</si>
  <si>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</si>
  <si>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</si>
  <si>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</si>
  <si>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</si>
  <si>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</si>
  <si>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</si>
  <si>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</si>
  <si>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</si>
  <si>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</si>
  <si>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</si>
  <si>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</si>
  <si>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</si>
  <si>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</si>
  <si>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</si>
  <si>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</si>
  <si>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</si>
  <si>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</si>
  <si>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</si>
  <si>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</si>
  <si>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</si>
  <si>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</si>
  <si>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</si>
  <si>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</si>
  <si>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</si>
  <si>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</si>
  <si>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</si>
  <si>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</si>
  <si>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</si>
  <si>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</si>
  <si>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</si>
  <si>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</si>
  <si>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</si>
  <si>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</si>
  <si>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</si>
  <si>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</si>
  <si>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</si>
  <si>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</si>
  <si>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</si>
  <si>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</si>
  <si>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</si>
  <si>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</si>
  <si>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</si>
  <si>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</si>
  <si>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</si>
  <si>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</si>
  <si>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</si>
  <si>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</si>
  <si>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</si>
  <si>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</si>
  <si>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</si>
  <si>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</si>
  <si>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</si>
  <si>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</si>
  <si>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</si>
  <si>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</si>
  <si>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</si>
  <si>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</si>
  <si>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</si>
  <si>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</si>
  <si>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</si>
  <si>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</si>
  <si>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</si>
  <si>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</si>
  <si>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</si>
  <si>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</si>
  <si>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</si>
  <si>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</si>
  <si>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</si>
  <si>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</si>
  <si>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</si>
  <si>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</si>
  <si>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</si>
  <si>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</si>
  <si>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</si>
  <si>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</si>
  <si>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</si>
  <si>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</si>
  <si>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</si>
  <si>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</si>
  <si>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</si>
  <si>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</si>
  <si>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</si>
  <si>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</si>
  <si>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</si>
  <si>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</si>
  <si>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</si>
  <si>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</si>
  <si>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</si>
  <si>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</si>
  <si>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</si>
  <si>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</si>
  <si>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</si>
  <si>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</si>
  <si>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</si>
  <si>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</si>
  <si>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</si>
  <si>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</si>
  <si>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</si>
  <si>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</si>
  <si>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</si>
  <si>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</si>
  <si>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</si>
  <si>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</si>
  <si>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</si>
  <si>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</si>
  <si>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</si>
  <si>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</si>
  <si>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</si>
  <si>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</si>
  <si>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</si>
  <si>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</si>
  <si>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</si>
  <si>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</si>
  <si>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</si>
  <si>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</si>
  <si>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</si>
  <si>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</si>
  <si>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</si>
  <si>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</si>
  <si>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</si>
  <si>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</si>
  <si>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</si>
  <si>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</si>
  <si>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</si>
  <si>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</si>
  <si>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</si>
  <si>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</si>
  <si>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</si>
  <si>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</si>
  <si>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</si>
  <si>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</si>
  <si>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</si>
  <si>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</si>
  <si>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</si>
  <si>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</si>
  <si>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</si>
  <si>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</si>
  <si>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</si>
  <si>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</si>
  <si>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</si>
  <si>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</si>
  <si>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</si>
  <si>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Teen Magazine</t>
  </si>
  <si>
    <t>This version only works with the "new" RTF Report</t>
  </si>
  <si>
    <r>
      <t xml:space="preserve">Only use this version if your RTF report is titled </t>
    </r>
    <r>
      <rPr>
        <b/>
        <sz val="10"/>
        <rFont val="Arial"/>
        <family val="2"/>
      </rPr>
      <t>"Daily RTF Report"</t>
    </r>
  </si>
  <si>
    <t>Section 1</t>
  </si>
  <si>
    <t>Section 2</t>
  </si>
  <si>
    <t>Section 3</t>
  </si>
  <si>
    <t>Section 4</t>
  </si>
  <si>
    <t>Collection</t>
  </si>
  <si>
    <t>Barcode</t>
  </si>
  <si>
    <t>Call #</t>
  </si>
  <si>
    <t>Author</t>
  </si>
  <si>
    <t>Title</t>
  </si>
  <si>
    <t>Publisher</t>
  </si>
  <si>
    <t>PYr</t>
  </si>
  <si>
    <t>CD 204.35 ENG</t>
  </si>
  <si>
    <t>Eng, Kim.</t>
  </si>
  <si>
    <t>Resist nothing guided meditations to heal the pain-body</t>
  </si>
  <si>
    <t>Sounds True,</t>
  </si>
  <si>
    <t>CD 973.922 ORE6846</t>
  </si>
  <si>
    <t>O'Reilly, Bill.</t>
  </si>
  <si>
    <t>Killing Kennedy the end of Camelot</t>
  </si>
  <si>
    <t>Macmillan Audio,</t>
  </si>
  <si>
    <t>CD BIO LEWIS MCG3798</t>
  </si>
  <si>
    <t>McGrath, Alister E., 1953-</t>
  </si>
  <si>
    <t>C.S. Lewis [a life : eccentric genius, reluctant prophet]</t>
  </si>
  <si>
    <t>Oasis Audio,</t>
  </si>
  <si>
    <t>CD FIC GRI648</t>
  </si>
  <si>
    <t>Griffin, W. E. B.</t>
  </si>
  <si>
    <t>The berets</t>
  </si>
  <si>
    <t>Brilliance Audio,</t>
  </si>
  <si>
    <t>CD FIC JOHNSTO</t>
  </si>
  <si>
    <t>Johnstone, William W.</t>
  </si>
  <si>
    <t>Smoke Jensen, the mountain man. 18, Triumph of the mountain man</t>
  </si>
  <si>
    <t>Graphic Audio ;</t>
  </si>
  <si>
    <t>CD FIC SAN1665</t>
  </si>
  <si>
    <t>Sandford, John, 1944 February 23-</t>
  </si>
  <si>
    <t>Silken prey</t>
  </si>
  <si>
    <t>Penguin Audio,</t>
  </si>
  <si>
    <t>BIO DRUMMON DRUMMON</t>
  </si>
  <si>
    <t>Drummond, Ree.</t>
  </si>
  <si>
    <t>The pioneer woman : black heels to tractor wheels, a love story</t>
  </si>
  <si>
    <t>William Morrow,</t>
  </si>
  <si>
    <t>CD M RHYE</t>
  </si>
  <si>
    <t>Rhye (Musical group)</t>
  </si>
  <si>
    <t>Woman</t>
  </si>
  <si>
    <t>Republic,</t>
  </si>
  <si>
    <t>CD MR AC DC</t>
  </si>
  <si>
    <t>AC/DC (Musical group)</t>
  </si>
  <si>
    <t>High voltage</t>
  </si>
  <si>
    <t>Epic,</t>
  </si>
  <si>
    <t>CD MR BUCKCHE</t>
  </si>
  <si>
    <t>Buckcherry (Musical group)</t>
  </si>
  <si>
    <t>Live &amp; loud 2009</t>
  </si>
  <si>
    <t>Eleven Seven Music,</t>
  </si>
  <si>
    <t>CD MR FAM8623</t>
  </si>
  <si>
    <t>Family Force 5 (Musical group)</t>
  </si>
  <si>
    <t>III</t>
  </si>
  <si>
    <t>Tooth &amp; Nail,</t>
  </si>
  <si>
    <t>CD MR NINE IN</t>
  </si>
  <si>
    <t>Nine Inch Nails (Musical group)</t>
  </si>
  <si>
    <t>Pretty hate machine</t>
  </si>
  <si>
    <t>Universal Music Group,</t>
  </si>
  <si>
    <t>CD MR ROL7661</t>
  </si>
  <si>
    <t>Rolling Stones.</t>
  </si>
  <si>
    <t>Grrr!</t>
  </si>
  <si>
    <t>ABKCO Music &amp; Records, Inc.,</t>
  </si>
  <si>
    <t>CD MR SMI4315</t>
  </si>
  <si>
    <t>Smith, Patti.</t>
  </si>
  <si>
    <t>Outside society</t>
  </si>
  <si>
    <t>Arista/Columbia/Legacy,</t>
  </si>
  <si>
    <t>CD MR UFO</t>
  </si>
  <si>
    <t>UFO (Musical group)</t>
  </si>
  <si>
    <t>The visitor</t>
  </si>
  <si>
    <t>Steamhammer,</t>
  </si>
  <si>
    <t>CD R COLTRAN</t>
  </si>
  <si>
    <t>Coltrane, John, 1926-1967.</t>
  </si>
  <si>
    <t>Newport '63</t>
  </si>
  <si>
    <t>GRP :</t>
  </si>
  <si>
    <t>DVD SCOTT P</t>
  </si>
  <si>
    <t>Scott Pilgrim vs. the world</t>
  </si>
  <si>
    <t>Universal Studios Home Entertainment,</t>
  </si>
  <si>
    <t>DVD CYM11</t>
  </si>
  <si>
    <t>Cymbeline</t>
  </si>
  <si>
    <t>Distributed by Ambrose Video Pub.,</t>
  </si>
  <si>
    <t>DVD EMPIRE</t>
  </si>
  <si>
    <t>Empire records</t>
  </si>
  <si>
    <t>Distributed by Warner Home Video,</t>
  </si>
  <si>
    <t>DVD FOU398</t>
  </si>
  <si>
    <t>Four lions</t>
  </si>
  <si>
    <t>Magnolia Home Entertainment,</t>
  </si>
  <si>
    <t>Failed Search</t>
  </si>
  <si>
    <t>DVD MRS DOU</t>
  </si>
  <si>
    <t>Mrs. Doubtfire</t>
  </si>
  <si>
    <t>20th Century Fox Home Entertainment,</t>
  </si>
  <si>
    <t>DVD THIS IS</t>
  </si>
  <si>
    <t>This is where I leave you</t>
  </si>
  <si>
    <t>DVD TWINS</t>
  </si>
  <si>
    <t>Twins</t>
  </si>
  <si>
    <t>Universal Home Video,</t>
  </si>
  <si>
    <t>DVD WHILE Y</t>
  </si>
  <si>
    <t>While you were sleeping</t>
  </si>
  <si>
    <t>Hollywood Pictures Home Entertainment ;</t>
  </si>
  <si>
    <t>DVD 42</t>
  </si>
  <si>
    <t>42 the Jackie Robinson story</t>
  </si>
  <si>
    <t>Warner Home Video,</t>
  </si>
  <si>
    <t>DVD NATIVIT</t>
  </si>
  <si>
    <t>The nativity.</t>
  </si>
  <si>
    <t>DVD TAX404</t>
  </si>
  <si>
    <t>Taxi driver</t>
  </si>
  <si>
    <t>Sony Pictures Home Entertainment,</t>
  </si>
  <si>
    <t>DVD TO KILL</t>
  </si>
  <si>
    <t>To kill a mockingbird</t>
  </si>
  <si>
    <t>DVD-ED 248.4 WIT888</t>
  </si>
  <si>
    <t>With no apology</t>
  </si>
  <si>
    <t>Philo Trust ;</t>
  </si>
  <si>
    <t>DVD-ED 362.2908 BIG140</t>
  </si>
  <si>
    <t>Bigger, stronger, faster*</t>
  </si>
  <si>
    <t>DVD-ED 551.307 KILLER</t>
  </si>
  <si>
    <t>Killer landslides</t>
  </si>
  <si>
    <t>DVD-ED 745.2 OBJ35</t>
  </si>
  <si>
    <t>Objectified</t>
  </si>
  <si>
    <t>Swiss Dots Limited ;</t>
  </si>
  <si>
    <t>DVD-ED 792.7028 CHR293</t>
  </si>
  <si>
    <t>Chris Rock never scared</t>
  </si>
  <si>
    <t>HBO Video ;</t>
  </si>
  <si>
    <t>DVD-ED 792.76 CHR1688</t>
  </si>
  <si>
    <t>Chris Rock, bigger &amp; blacker</t>
  </si>
  <si>
    <t>HBO Home Video,</t>
  </si>
  <si>
    <t>DVD BRA422</t>
  </si>
  <si>
    <t>The brave little toaster</t>
  </si>
  <si>
    <t>Walt Disney Home Video :</t>
  </si>
  <si>
    <t>DVD COC5319</t>
  </si>
  <si>
    <t>Coco &amp; Igor Stravinsky</t>
  </si>
  <si>
    <t>DVD WINTER</t>
  </si>
  <si>
    <t>Winter sleep</t>
  </si>
  <si>
    <t>Adopt Films,</t>
  </si>
  <si>
    <t>DVD BAS8848</t>
  </si>
  <si>
    <t>Basic instinct</t>
  </si>
  <si>
    <t>Lions Gate Home Entertainment,</t>
  </si>
  <si>
    <t>DVD BOY MEE</t>
  </si>
  <si>
    <t>Boy meets world. Season 5</t>
  </si>
  <si>
    <t>Lions Gate Films,</t>
  </si>
  <si>
    <t>DVD MUSKETE</t>
  </si>
  <si>
    <t>The musketeers. The complete second season</t>
  </si>
  <si>
    <t>DVD PARADIS</t>
  </si>
  <si>
    <t>The paradise. Season two</t>
  </si>
  <si>
    <t>DVD GOO5172</t>
  </si>
  <si>
    <t>Good morning, Vietnam</t>
  </si>
  <si>
    <t>Touchstone Home Video :</t>
  </si>
  <si>
    <t>DVD ASS563</t>
  </si>
  <si>
    <t>The assassination of Jesse James by the coward Robert Ford</t>
  </si>
  <si>
    <t>E BARRETT</t>
  </si>
  <si>
    <t>Barrett, Judi.</t>
  </si>
  <si>
    <t>Cloudy with a chance of meatballs</t>
  </si>
  <si>
    <t>Atheneum,</t>
  </si>
  <si>
    <t>E BROWNE</t>
  </si>
  <si>
    <t>Browne, Anthony, 1946-</t>
  </si>
  <si>
    <t>The little bear book</t>
  </si>
  <si>
    <t>Candlewick Press,</t>
  </si>
  <si>
    <t>E BYRNE</t>
  </si>
  <si>
    <t>Byrne, Richard, 1963- author, illustrator.</t>
  </si>
  <si>
    <t>This book just ate my dog!</t>
  </si>
  <si>
    <t>E DE VRIES</t>
  </si>
  <si>
    <t>De Vries, Maggie.</t>
  </si>
  <si>
    <t>Fraser bear : a cub's life</t>
  </si>
  <si>
    <t>Greystone Books,</t>
  </si>
  <si>
    <t>E ISADORA</t>
  </si>
  <si>
    <t>Isadora, Rachel.</t>
  </si>
  <si>
    <t>Peekaboo bedtime</t>
  </si>
  <si>
    <t>G.P. Putnam's Sons,</t>
  </si>
  <si>
    <t>E REAGAN</t>
  </si>
  <si>
    <t>Reagan, Jean, 1965-</t>
  </si>
  <si>
    <t>How to babysit a grandpa</t>
  </si>
  <si>
    <t>Alfred A. Knopf,</t>
  </si>
  <si>
    <t>E SCHERTL</t>
  </si>
  <si>
    <t>Schertle, Alice.</t>
  </si>
  <si>
    <t>Little blue truck</t>
  </si>
  <si>
    <t>Harcourt, Inc.,</t>
  </si>
  <si>
    <t>E CD 398.2452 KIMMEL</t>
  </si>
  <si>
    <t>Kimmel, Eric A.</t>
  </si>
  <si>
    <t>Anansi and the moss covered rock</t>
  </si>
  <si>
    <t>Live Oak Media,</t>
  </si>
  <si>
    <t>E CD FIC FEIFFER</t>
  </si>
  <si>
    <t>Feiffer, Jules.</t>
  </si>
  <si>
    <t>Bark, George</t>
  </si>
  <si>
    <t>Weston Woods ;</t>
  </si>
  <si>
    <t>E CARLE</t>
  </si>
  <si>
    <t>Carle, Eric.</t>
  </si>
  <si>
    <t>The very hungry caterpillar</t>
  </si>
  <si>
    <t>Philomel Books,</t>
  </si>
  <si>
    <t>E SHEA</t>
  </si>
  <si>
    <t>Shea, Bob.</t>
  </si>
  <si>
    <t>Dinosaur vs. bedtime</t>
  </si>
  <si>
    <t>Hyperion Books for Children,</t>
  </si>
  <si>
    <t>E WILSON</t>
  </si>
  <si>
    <t>Wilson, Karma.</t>
  </si>
  <si>
    <t>Bear snores on</t>
  </si>
  <si>
    <t>Margaret K. McElderry Books,</t>
  </si>
  <si>
    <t>E 398.2452 LITTLE</t>
  </si>
  <si>
    <t>The little red hen</t>
  </si>
  <si>
    <t>Clarion Books,</t>
  </si>
  <si>
    <t>E 612 ENSLOW</t>
  </si>
  <si>
    <t>Enslow, Brian.</t>
  </si>
  <si>
    <t>My body</t>
  </si>
  <si>
    <t>Enslow Publishers,</t>
  </si>
  <si>
    <t>E 641.3 WEBER</t>
  </si>
  <si>
    <t>Weber, Rebecca.</t>
  </si>
  <si>
    <t>Foods from the farm</t>
  </si>
  <si>
    <t>Compass Point Books,</t>
  </si>
  <si>
    <t>39067036368169</t>
  </si>
  <si>
    <t>FIC ADAMS</t>
  </si>
  <si>
    <t>Adams, Jane, 1960-</t>
  </si>
  <si>
    <t>Touching the dark</t>
  </si>
  <si>
    <t>Severn House,</t>
  </si>
  <si>
    <t>FIC ASHLEY</t>
  </si>
  <si>
    <t>Ashley, Jennifer.</t>
  </si>
  <si>
    <t>Primal bonds</t>
  </si>
  <si>
    <t>Berkley Sensation,</t>
  </si>
  <si>
    <t>FIC KUNSTLE</t>
  </si>
  <si>
    <t>Kunstler, James Howard.</t>
  </si>
  <si>
    <t>A history of the future</t>
  </si>
  <si>
    <t>Atlantic Monthly Press,</t>
  </si>
  <si>
    <t>FIC PETERSO</t>
  </si>
  <si>
    <t>Peterson, Tracie, author.</t>
  </si>
  <si>
    <t>New Books</t>
  </si>
  <si>
    <t>Refining fire</t>
  </si>
  <si>
    <t>FIC PROBY</t>
  </si>
  <si>
    <t>Proby, Kristen, author.</t>
  </si>
  <si>
    <t>Loving Cara</t>
  </si>
  <si>
    <t>Seducing Lauren</t>
  </si>
  <si>
    <t>FIC SANDERS</t>
  </si>
  <si>
    <t>Sanderson, Jane, author.</t>
  </si>
  <si>
    <t>Netherwood</t>
  </si>
  <si>
    <t>FIC SINGH</t>
  </si>
  <si>
    <t>Singh, Nalini, 1977- author.</t>
  </si>
  <si>
    <t>Archangel's enigma</t>
  </si>
  <si>
    <t>FIC TRIGIAN</t>
  </si>
  <si>
    <t>Trigiani, Adriana.</t>
  </si>
  <si>
    <t>The shoemaker's wife : a novel</t>
  </si>
  <si>
    <t>HarperCollins</t>
  </si>
  <si>
    <t>FIC SULLIVA</t>
  </si>
  <si>
    <t>Sullivan, Michael J., 1961-</t>
  </si>
  <si>
    <t>The crown tower</t>
  </si>
  <si>
    <t>FIC WILLIG</t>
  </si>
  <si>
    <t>Willig, Lauren.</t>
  </si>
  <si>
    <t>The passion of the purple plumeria</t>
  </si>
  <si>
    <t>J CD 759.03 WEI38</t>
  </si>
  <si>
    <t>Weiss, Jim.</t>
  </si>
  <si>
    <t>Masters of the Renaissance</t>
  </si>
  <si>
    <t>Greathall Productions,</t>
  </si>
  <si>
    <t>J CD FIC CLEMENT</t>
  </si>
  <si>
    <t>Clements, Andrew, 1949- author.</t>
  </si>
  <si>
    <t>The map trap</t>
  </si>
  <si>
    <t>Simon &amp; Schuster Audio,</t>
  </si>
  <si>
    <t>J CD FIC WEISS</t>
  </si>
  <si>
    <t>A Christmas carol and other favorites</t>
  </si>
  <si>
    <t>J DAHL</t>
  </si>
  <si>
    <t>Dahl, Roald.</t>
  </si>
  <si>
    <t>Charlie and the chocolate factory</t>
  </si>
  <si>
    <t>Penguin Books,</t>
  </si>
  <si>
    <t>J LEONARD</t>
  </si>
  <si>
    <t>Leonard, Julia Platt.</t>
  </si>
  <si>
    <t>Cold case</t>
  </si>
  <si>
    <t>Aladdin,</t>
  </si>
  <si>
    <t>J PEIRCE</t>
  </si>
  <si>
    <t>Peirce, Lincoln.</t>
  </si>
  <si>
    <t>Big Nate goes for broke</t>
  </si>
  <si>
    <t>Harper,</t>
  </si>
  <si>
    <t>J SACHAR</t>
  </si>
  <si>
    <t>Sachar, Louis, 1954-</t>
  </si>
  <si>
    <t>Sideways stories from Wayside School</t>
  </si>
  <si>
    <t>HarperTrophy,</t>
  </si>
  <si>
    <t>J SCHWAB</t>
  </si>
  <si>
    <t>Schwab, Victoria, author.</t>
  </si>
  <si>
    <t>Second chances</t>
  </si>
  <si>
    <t>J SERIES 39 CLUE</t>
  </si>
  <si>
    <t>Korman, Gordon.</t>
  </si>
  <si>
    <t>The emperor's code</t>
  </si>
  <si>
    <t>Scholastic,</t>
  </si>
  <si>
    <t>J SERIES A TO Z</t>
  </si>
  <si>
    <t>Roy, Ron, 1940-</t>
  </si>
  <si>
    <t>The empty envelope</t>
  </si>
  <si>
    <t>Random House,</t>
  </si>
  <si>
    <t>The school skeleton</t>
  </si>
  <si>
    <t>The canary caper</t>
  </si>
  <si>
    <t>J SERIES A TO Z SUPER E</t>
  </si>
  <si>
    <t>Sleepy Hollow sleepover</t>
  </si>
  <si>
    <t>Random House Children's Books,</t>
  </si>
  <si>
    <t>Mayflower treasure hunt</t>
  </si>
  <si>
    <t>White House white-out</t>
  </si>
  <si>
    <t>J SERIES BOXCAR</t>
  </si>
  <si>
    <t>Warner, Gertrude Chandler, 1890-1979.</t>
  </si>
  <si>
    <t>The mystery at the Alamo</t>
  </si>
  <si>
    <t>A. Whitman,</t>
  </si>
  <si>
    <t>J SERIES CLASSIC</t>
  </si>
  <si>
    <t>Ho, Oliver.</t>
  </si>
  <si>
    <t>Call of the wild : retold from the Jack London original</t>
  </si>
  <si>
    <t>Sterling Pub. Co.,</t>
  </si>
  <si>
    <t>J SERIES KATIE K</t>
  </si>
  <si>
    <t>Krulik, Nancy E.</t>
  </si>
  <si>
    <t>Don't be such a turkey!</t>
  </si>
  <si>
    <t>Grosset &amp; Dunlap,</t>
  </si>
  <si>
    <t>J SERIES MANDIE</t>
  </si>
  <si>
    <t>Leppard, Lois Gladys.</t>
  </si>
  <si>
    <t>The Mandie collection. Volume one</t>
  </si>
  <si>
    <t>Bethany House,</t>
  </si>
  <si>
    <t>J SERIES RACE TH</t>
  </si>
  <si>
    <t>Earhart, Kristin, author.</t>
  </si>
  <si>
    <t>Rain forest relay</t>
  </si>
  <si>
    <t>J STINE</t>
  </si>
  <si>
    <t>Stine, R. L.</t>
  </si>
  <si>
    <t>Goosebumps wanted : the haunted mask</t>
  </si>
  <si>
    <t>Scholastic Press,</t>
  </si>
  <si>
    <t>J 398.2 FAIRY T</t>
  </si>
  <si>
    <t>Fairy tale comics : [classic tales told by extraordinary cartoonists]</t>
  </si>
  <si>
    <t>First Second,</t>
  </si>
  <si>
    <t>J BROWN</t>
  </si>
  <si>
    <t>Brown, Jeffrey, 1975- author, illustrator.</t>
  </si>
  <si>
    <t>Return of the Padawan</t>
  </si>
  <si>
    <t>J STAR WA</t>
  </si>
  <si>
    <t>Star wars, clone wars adventures. Volume 3</t>
  </si>
  <si>
    <t>Dark Horse Books,</t>
  </si>
  <si>
    <t>J 398.2095 GRANFIE</t>
  </si>
  <si>
    <t>Granfield, Linda.</t>
  </si>
  <si>
    <t>The legend of the panda</t>
  </si>
  <si>
    <t>Tundra Books,</t>
  </si>
  <si>
    <t>J 598.97 MILLER</t>
  </si>
  <si>
    <t>Miller, Sara Swan.</t>
  </si>
  <si>
    <t>Owls</t>
  </si>
  <si>
    <t>PowerKids Press,</t>
  </si>
  <si>
    <t>J 741.5973 DAVIS</t>
  </si>
  <si>
    <t>Davis, Jim, 1945 July 28-</t>
  </si>
  <si>
    <t>Garfield out to lunch</t>
  </si>
  <si>
    <t>Ballantine Books,</t>
  </si>
  <si>
    <t>J 811.008 FIREFLY</t>
  </si>
  <si>
    <t>Firefly July : a year of very short poems</t>
  </si>
  <si>
    <t>J 811.54 PRELUTS</t>
  </si>
  <si>
    <t>Prelutsky, Jack.</t>
  </si>
  <si>
    <t>Be glad your nose is on your face and other poems : some of the best of Jack Prelutsky</t>
  </si>
  <si>
    <t>Greenwillow Books,</t>
  </si>
  <si>
    <t>J 912 NATIONA</t>
  </si>
  <si>
    <t>National Geographic kids world atlas.</t>
  </si>
  <si>
    <t>J 931 SHAUGHN</t>
  </si>
  <si>
    <t>Shaughnessy, Edward L., 1952-</t>
  </si>
  <si>
    <t>Exploring the life, myth, and art of ancient China</t>
  </si>
  <si>
    <t>Rosen,</t>
  </si>
  <si>
    <t>J 954.96 OWINGS</t>
  </si>
  <si>
    <t>Owings, Lisa.</t>
  </si>
  <si>
    <t>Nepal</t>
  </si>
  <si>
    <t>LGE-TYPE WOODS</t>
  </si>
  <si>
    <t>Woods, Sherryl.</t>
  </si>
  <si>
    <t>A Chesapeake shores Christmas</t>
  </si>
  <si>
    <t>Center Point Pub.,</t>
  </si>
  <si>
    <t>Coins Vol. 62 No. 10  (October 2015)</t>
  </si>
  <si>
    <t>Krause Publications,</t>
  </si>
  <si>
    <t>Coins Vol. 62 No. 9  (September 2015)</t>
  </si>
  <si>
    <t>Scientific American mind. v. 26 no. 5  (Sep./Oct. 2015)</t>
  </si>
  <si>
    <t>Scientific American, Inc.</t>
  </si>
  <si>
    <t>Southern living. Vol. 50 No. 10  (Oct. 2015)</t>
  </si>
  <si>
    <t>Southern Living, Inc. [etc.]</t>
  </si>
  <si>
    <t>004.1675 MCMANUS</t>
  </si>
  <si>
    <t>McManus, Sean, 1973- author.</t>
  </si>
  <si>
    <t>Raspberry Pi for dummies</t>
  </si>
  <si>
    <t>005.7565 WEMPEN</t>
  </si>
  <si>
    <t>Wempen, Faithe.</t>
  </si>
  <si>
    <t>Teach yourself visually : Microsoft Office Access 2007</t>
  </si>
  <si>
    <t>Wiley Pub.,</t>
  </si>
  <si>
    <t>006.74 KEOGH</t>
  </si>
  <si>
    <t>Keogh, James Edward, 1948-</t>
  </si>
  <si>
    <t>XML demystified</t>
  </si>
  <si>
    <t>McGraw-Hill,</t>
  </si>
  <si>
    <t>248.4 ELDREDG</t>
  </si>
  <si>
    <t>Eldredge, John, 1960-</t>
  </si>
  <si>
    <t>Waking the dead : the glory of a heart fully alive</t>
  </si>
  <si>
    <t>Thomas Nelson,</t>
  </si>
  <si>
    <t>305.2308 SAX</t>
  </si>
  <si>
    <t>Sax, Leonard.</t>
  </si>
  <si>
    <t>Girls on the edge : the four factors driving the new crisis for girls : sexual identity, the cyberbubble, obsessions, environmental toxins</t>
  </si>
  <si>
    <t>Basic Books,</t>
  </si>
  <si>
    <t>305.235 STEVICK</t>
  </si>
  <si>
    <t>Stevick, Richard A., 1939-</t>
  </si>
  <si>
    <t>Growing up Amish : the teenage years</t>
  </si>
  <si>
    <t>Johns Hopkins University Press,</t>
  </si>
  <si>
    <t>361.763 BRONFMA</t>
  </si>
  <si>
    <t>Bronfman, Charles, 1931- author.</t>
  </si>
  <si>
    <t>The art of doing good : where passion meets action</t>
  </si>
  <si>
    <t>Jossey-Bass,</t>
  </si>
  <si>
    <t>598.0723 SIBLEY</t>
  </si>
  <si>
    <t>Sibley, David, 1961-</t>
  </si>
  <si>
    <t>The Sibley field guide to birds of western North America</t>
  </si>
  <si>
    <t>Knopf,</t>
  </si>
  <si>
    <t>599.0979 EDER</t>
  </si>
  <si>
    <t>Eder, Tamara, 1974-</t>
  </si>
  <si>
    <t>Mammals of Washington and Oregon</t>
  </si>
  <si>
    <t>Lone Pine Pub.,</t>
  </si>
  <si>
    <t>599.0979 MASER</t>
  </si>
  <si>
    <t>Maser, Chris.</t>
  </si>
  <si>
    <t>Mammals of the Pacific Northwest : from the coast to the high cascades</t>
  </si>
  <si>
    <t>Oregon State University Press,</t>
  </si>
  <si>
    <t>636.7 AMERICA</t>
  </si>
  <si>
    <t>The American Kennel Club dog care and training</t>
  </si>
  <si>
    <t>Hungry Minds,</t>
  </si>
  <si>
    <t>636.755 LEE</t>
  </si>
  <si>
    <t>Lee, Muriel P.</t>
  </si>
  <si>
    <t>Border terrier</t>
  </si>
  <si>
    <t>Kennel Club Books,</t>
  </si>
  <si>
    <t>641.53 BARBER</t>
  </si>
  <si>
    <t>Barber, Casey.</t>
  </si>
  <si>
    <t>Classic snacks made from scratch : 70 homemade versions of your favorite brand-name treats</t>
  </si>
  <si>
    <t>Ulysses Press,</t>
  </si>
  <si>
    <t>641.5636 HESTER</t>
  </si>
  <si>
    <t>Hester, Kathy.</t>
  </si>
  <si>
    <t>The vegan slow cooker : simply set it and go with 150 recipes for intensely flavorful, fuss-free fare everyone (vegan or not!) will devour</t>
  </si>
  <si>
    <t>Fair Winds Press,</t>
  </si>
  <si>
    <t>641.5636 MCCANN</t>
  </si>
  <si>
    <t>McCann, Jennifer.</t>
  </si>
  <si>
    <t>Vegan lunch box : 150 amazing, animal-free lunches kids and grown-ups will love!</t>
  </si>
  <si>
    <t>Da Capo Lifelong,</t>
  </si>
  <si>
    <t>641.5636 ROBERTS</t>
  </si>
  <si>
    <t>Robertson, Robin (Robin G.)</t>
  </si>
  <si>
    <t>One-dish vegan : more than 150 soul-satisfying recipes for easy and delicious one-bowl and one-plate dinners</t>
  </si>
  <si>
    <t>More quick-fix vegan : simple, delicious recipes in 30 minutes or less</t>
  </si>
  <si>
    <t>Andrews McMeel Pub.,</t>
  </si>
  <si>
    <t>641.568 WARD</t>
  </si>
  <si>
    <t>Ward, Jessica.</t>
  </si>
  <si>
    <t>The ultimate Disney party book</t>
  </si>
  <si>
    <t>641.662 SCHATZK</t>
  </si>
  <si>
    <t>Schatzker, Mark.</t>
  </si>
  <si>
    <t>Steak : one man's search for the world's tastiest piece of beef</t>
  </si>
  <si>
    <t>Viking,</t>
  </si>
  <si>
    <t>641.82 ONE POT</t>
  </si>
  <si>
    <t>One pot : 120+ easy meals from your skillet, slow cooker, stockpot, and more</t>
  </si>
  <si>
    <t>641.862 ROGERS</t>
  </si>
  <si>
    <t>Rogers, Jeff, 1961-</t>
  </si>
  <si>
    <t>Vegan ice cream : over 90 sinfully delicious dairy-free delights</t>
  </si>
  <si>
    <t>649.122 GIORDAN</t>
  </si>
  <si>
    <t>Giordano, Suzy.</t>
  </si>
  <si>
    <t>The baby sleep solution : a proven program to teach your baby to sleep twelve hours a night</t>
  </si>
  <si>
    <t>Penguin Group,</t>
  </si>
  <si>
    <t>690.893 JESWALD</t>
  </si>
  <si>
    <t>Jeswald, Peter.</t>
  </si>
  <si>
    <t>Deck ideas that work</t>
  </si>
  <si>
    <t>Taunton Press,</t>
  </si>
  <si>
    <t>702.812 MEIER</t>
  </si>
  <si>
    <t>Meier, Rebekah, 1962-</t>
  </si>
  <si>
    <t>More fabric art, collage : 64 new techniques for mixed media, surface design &amp; embellishment : featuring Lutradur, TAP, mul-tex--</t>
  </si>
  <si>
    <t>C&amp;T Pub.,</t>
  </si>
  <si>
    <t>712.6 MESSERV</t>
  </si>
  <si>
    <t>Messervy, Julie Moir.</t>
  </si>
  <si>
    <t>Landscaping ideas that work</t>
  </si>
  <si>
    <t>741.5952 HOW TO</t>
  </si>
  <si>
    <t>How to draw manga special. Colored original drawing</t>
  </si>
  <si>
    <t>Graphic-sha Pub.,</t>
  </si>
  <si>
    <t>746.432 60 QUIC</t>
  </si>
  <si>
    <t>60 quick knit baby essentials : sweaters, toys, blankets, &amp; more in Cherub from Cascade Yarns</t>
  </si>
  <si>
    <t>746.432 LUCAS</t>
  </si>
  <si>
    <t>Lucas, Jen, 1980-</t>
  </si>
  <si>
    <t>Sock-yarn shawls II : 16 patterns for lace knitting</t>
  </si>
  <si>
    <t>746.443 GREENOF</t>
  </si>
  <si>
    <t>Greenoff, Jane.</t>
  </si>
  <si>
    <t>The new cross stitcher's bible : the definitive manual of essential cross stitch and counted thread techniques</t>
  </si>
  <si>
    <t>David &amp; Charles,</t>
  </si>
  <si>
    <t>781.542 SONGS F</t>
  </si>
  <si>
    <t>Songs from Frozen, Tangled and Enchanted. Flute.</t>
  </si>
  <si>
    <t>787.8714 WOLK</t>
  </si>
  <si>
    <t>Wolk, Tom.</t>
  </si>
  <si>
    <t>Rock riffs for bass</t>
  </si>
  <si>
    <t>Amsco Publications :</t>
  </si>
  <si>
    <t>788.32 LLOYD W</t>
  </si>
  <si>
    <t>Lloyd Webber, Andrew, 1948-</t>
  </si>
  <si>
    <t>Andrew Lloyd Webber's The phantom of the opera. Flute</t>
  </si>
  <si>
    <t>Hal Leonard Corp.,</t>
  </si>
  <si>
    <t>811.3 LONGFEL</t>
  </si>
  <si>
    <t>Longfellow, Henry Wadsworth, 1807-1882.</t>
  </si>
  <si>
    <t>Henry Wadsworth Longfellow : poems and other writings</t>
  </si>
  <si>
    <t>Library of America :</t>
  </si>
  <si>
    <t>821.914 SATYAMU</t>
  </si>
  <si>
    <t>Satyamurti, Carole, author.</t>
  </si>
  <si>
    <t>Mahabharata : a modern retelling</t>
  </si>
  <si>
    <t>940.18 PHILLIP</t>
  </si>
  <si>
    <t>Phillips, Charles, 1962-</t>
  </si>
  <si>
    <t>An illustrated history of the Crusades and the crusader knights</t>
  </si>
  <si>
    <t>Lorenz Books,</t>
  </si>
  <si>
    <t>959.7043 DRURY</t>
  </si>
  <si>
    <t>Drury, Bob.</t>
  </si>
  <si>
    <t>Last men out : the true story of America's heroic final hours in Vietnam</t>
  </si>
  <si>
    <t>Free Press,</t>
  </si>
  <si>
    <t>959.7043 NILES</t>
  </si>
  <si>
    <t>Niles, Douglas.</t>
  </si>
  <si>
    <t>A noble cause : American battlefield victories in Vietnam</t>
  </si>
  <si>
    <t>TEEN CD FIC DEL2316</t>
  </si>
  <si>
    <t>De la Cruz, Melissa, 1971-</t>
  </si>
  <si>
    <t>Gates of Paradise</t>
  </si>
  <si>
    <t>Recorded Books,</t>
  </si>
  <si>
    <t>TEEN CD FIC DEL6079</t>
  </si>
  <si>
    <t>Misguided angel</t>
  </si>
  <si>
    <t>TEEN DAVIS</t>
  </si>
  <si>
    <t>Davis, Bryan, 1958-</t>
  </si>
  <si>
    <t>Circles of seven</t>
  </si>
  <si>
    <t>Living Ink Books,</t>
  </si>
  <si>
    <t>TEEN EGER</t>
  </si>
  <si>
    <t>Eger, Paddy, author.</t>
  </si>
  <si>
    <t>84 ribbons</t>
  </si>
  <si>
    <t>TEEN JONES</t>
  </si>
  <si>
    <t>Jones, Jenny B., 1975-</t>
  </si>
  <si>
    <t>There you'll find me</t>
  </si>
  <si>
    <t>TEEN LONDON</t>
  </si>
  <si>
    <t>London, C. Alexander, author.</t>
  </si>
  <si>
    <t>Blood in the water</t>
  </si>
  <si>
    <t>TEEN MAAS</t>
  </si>
  <si>
    <t>Maas, Sarah J., author.</t>
  </si>
  <si>
    <t>A court of thorns and roses</t>
  </si>
  <si>
    <t>TEEN PRATCHE</t>
  </si>
  <si>
    <t>Pratchett, Terry.</t>
  </si>
  <si>
    <t>A hat full of sky</t>
  </si>
  <si>
    <t>HarperCollins,</t>
  </si>
  <si>
    <t>TEEN HATA</t>
  </si>
  <si>
    <t>Hata, Kenjirō, 1975-</t>
  </si>
  <si>
    <t>Hayate the combat butler. 16</t>
  </si>
  <si>
    <t>Viz Media,</t>
  </si>
  <si>
    <t>TEEN TOMA</t>
  </si>
  <si>
    <t>Tōma, Rei.</t>
  </si>
  <si>
    <t>Dawn of the Arcana. 6</t>
  </si>
  <si>
    <t>TEEN 001.9 GRANT</t>
  </si>
  <si>
    <t>Grant, John, 1949- author.</t>
  </si>
  <si>
    <t>Debunk it! : how to stay sane in a world of misinformation</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</si>
</sst>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sz val="8"/>
      <color rgb="FF000000"/>
      <name val="Segoe UI"/>
      <family val="2"/>
    </font>
    <font>
      <b/>
      <sz val="10"/>
      <name val="Arial"/>
      <family val="2"/>
    </font>
    <font>
      <i/>
      <sz val="10"/>
      <name val="Arial"/>
      <family val="2"/>
    </font>
    <font>
      <sz val="14"/>
      <name val="Arial"/>
    </font>
    <font>
      <sz val="10"/>
      <color indexed="8"/>
      <name val="Arial"/>
      <family val="2"/>
    </font>
  </fonts>
  <fills count="3">
    <fill>
      <patternFill patternType="none"/>
    </fill>
    <fill>
      <patternFill patternType="gray125"/>
    </fill>
    <fill>
      <patternFill patternType="solid">
        <fgColor rgb="FFA5A5A5"/>
      </patternFill>
    </fill>
  </fills>
  <borders count="6">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thin">
        <color indexed="9"/>
      </left>
      <right style="thin">
        <color indexed="9"/>
      </right>
      <top style="thin">
        <color indexed="9"/>
      </top>
      <bottom style="thin">
        <color indexed="9"/>
      </bottom>
      <diagonal/>
    </border>
    <border>
      <left style="double">
        <color rgb="FF3F3F3F"/>
      </left>
      <right style="double">
        <color rgb="FF3F3F3F"/>
      </right>
      <top style="double">
        <color rgb="FF3F3F3F"/>
      </top>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8">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5" fillId="0" borderId="0" xfId="2" applyFont="1" applyFill="1" applyAlignment="1">
      <alignment horizontal="left"/>
    </xf>
    <xf numFmtId="0" fontId="7" fillId="0" borderId="0" xfId="0" applyFont="1"/>
    <xf numFmtId="0" fontId="15" fillId="0" borderId="0" xfId="0" applyFont="1"/>
    <xf numFmtId="0" fontId="16" fillId="0" borderId="0" xfId="0" applyFont="1" applyProtection="1">
      <protection locked="0"/>
    </xf>
    <xf numFmtId="0" fontId="17" fillId="0" borderId="4" xfId="0" applyFont="1" applyBorder="1" applyAlignment="1" applyProtection="1">
      <alignment vertical="top" wrapText="1" readingOrder="1"/>
      <protection locked="0"/>
    </xf>
    <xf numFmtId="0" fontId="5" fillId="0" borderId="0" xfId="2" applyNumberFormat="1" applyFont="1" applyFill="1" applyBorder="1" applyAlignment="1">
      <alignment wrapText="1"/>
    </xf>
    <xf numFmtId="0" fontId="12" fillId="2" borderId="5" xfId="5" applyBorder="1" applyAlignment="1">
      <alignment horizontal="left" indent="1"/>
    </xf>
  </cellXfs>
  <cellStyles count="6">
    <cellStyle name="Check Cell" xfId="5" builtinId="23"/>
    <cellStyle name="Normal" xfId="0" builtinId="0"/>
    <cellStyle name="Normal 2" xfId="1"/>
    <cellStyle name="Normal 3" xfId="2"/>
    <cellStyle name="Normal 4" xfId="3"/>
    <cellStyle name="Normal 5" xfId="4"/>
  </cellStyles>
  <dxfs count="15">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xdr:row>
          <xdr:rowOff>107950</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39875"/>
          <a:ext cx="6848475" cy="485774"/>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17725"/>
          <a:ext cx="6848475" cy="438150"/>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1</xdr:col>
          <xdr:colOff>285750</xdr:colOff>
          <xdr:row>20</xdr:row>
          <xdr:rowOff>69850</xdr:rowOff>
        </xdr:from>
        <xdr:to>
          <xdr:col>12</xdr:col>
          <xdr:colOff>184150</xdr:colOff>
          <xdr:row>25</xdr:row>
          <xdr:rowOff>57150</xdr:rowOff>
        </xdr:to>
        <xdr:sp macro="" textlink="">
          <xdr:nvSpPr>
            <xdr:cNvPr id="3079" name="Group Box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Options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450850</xdr:colOff>
          <xdr:row>0</xdr:row>
          <xdr:rowOff>107950</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21</xdr:row>
          <xdr:rowOff>76200</xdr:rowOff>
        </xdr:from>
        <xdr:to>
          <xdr:col>4</xdr:col>
          <xdr:colOff>584200</xdr:colOff>
          <xdr:row>23</xdr:row>
          <xdr:rowOff>57150</xdr:rowOff>
        </xdr:to>
        <xdr:sp macro="" textlink="">
          <xdr:nvSpPr>
            <xdr:cNvPr id="3082" name="CheckBox1"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390525</xdr:colOff>
      <xdr:row>0</xdr:row>
      <xdr:rowOff>457200</xdr:rowOff>
    </xdr:from>
    <xdr:to>
      <xdr:col>12</xdr:col>
      <xdr:colOff>336177</xdr:colOff>
      <xdr:row>20</xdr:row>
      <xdr:rowOff>37353</xdr:rowOff>
    </xdr:to>
    <xdr:grpSp>
      <xdr:nvGrpSpPr>
        <xdr:cNvPr id="3" name="Group 2"/>
        <xdr:cNvGrpSpPr/>
      </xdr:nvGrpSpPr>
      <xdr:grpSpPr>
        <a:xfrm>
          <a:off x="11450731" y="457200"/>
          <a:ext cx="2881593" cy="4958977"/>
          <a:chOff x="12851466" y="457200"/>
          <a:chExt cx="5109881" cy="2617894"/>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0"/>
                <a:ext cx="2888315" cy="964266"/>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515209"/>
            <a:ext cx="5109881" cy="1559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a:t>
            </a:r>
            <a:r>
              <a:rPr lang="en-US" sz="1100" baseline="0"/>
              <a:t>to change which </a:t>
            </a:r>
            <a:r>
              <a:rPr lang="en-US" sz="1100" i="1" baseline="0"/>
              <a:t>section </a:t>
            </a:r>
            <a:r>
              <a:rPr lang="en-US" sz="1100" i="0" baseline="0"/>
              <a:t>an</a:t>
            </a:r>
            <a:r>
              <a:rPr lang="en-US" sz="1100" baseline="0"/>
              <a:t> RTF record goes into.</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Prefix+Class+Cutter is what makes a call number. This table is the key for the program to interpret RTF data.</a:t>
            </a:r>
            <a:endParaRPr lang="en-US" sz="1100" b="1" i="1"/>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156883</xdr:colOff>
      <xdr:row>0</xdr:row>
      <xdr:rowOff>209550</xdr:rowOff>
    </xdr:from>
    <xdr:to>
      <xdr:col>13</xdr:col>
      <xdr:colOff>141941</xdr:colOff>
      <xdr:row>20</xdr:row>
      <xdr:rowOff>100853</xdr:rowOff>
    </xdr:to>
    <xdr:grpSp>
      <xdr:nvGrpSpPr>
        <xdr:cNvPr id="3" name="Group 2"/>
        <xdr:cNvGrpSpPr/>
      </xdr:nvGrpSpPr>
      <xdr:grpSpPr>
        <a:xfrm>
          <a:off x="3451412" y="209550"/>
          <a:ext cx="5924176" cy="4373656"/>
          <a:chOff x="4045324" y="209550"/>
          <a:chExt cx="5931208"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5931208"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I191" totalsRowShown="0" headerRowDxfId="13" dataDxfId="12" headerRowCellStyle="Normal 3" dataCellStyle="Normal 3">
  <tableColumns count="9">
    <tableColumn id="4" name="Collection Name" dataDxfId="11" dataCellStyle="Normal 3"/>
    <tableColumn id="5" name="Dewey Number" dataDxfId="10" dataCellStyle="Normal 3">
      <calculatedColumnFormula>ISNUMBER(IndexTbl[[#This Row],[Class]])</calculatedColumnFormula>
    </tableColumn>
    <tableColumn id="6" name="Call Number Mask" dataDxfId="9" dataCellStyle="Normal 3">
      <calculatedColumnFormula>TRIM(IndexTbl[[#This Row],[Prefix]]&amp;IF(NOT(IndexTbl[[#This Row],[Dewey Number]])," "&amp;IndexTbl[[#This Row],[Class]],""))</calculatedColumnFormula>
    </tableColumn>
    <tableColumn id="7" name="Prefix" dataDxfId="8" dataCellStyle="Normal 3"/>
    <tableColumn id="8" name="Class" dataDxfId="7" dataCellStyle="Normal 3"/>
    <tableColumn id="9" name="Cutter [{Subject},{Author},{Other}]" dataDxfId="6" dataCellStyle="Normal 3"/>
    <tableColumn id="1" name="Shelf Location" dataDxfId="5" dataCellStyle="Normal 3"/>
    <tableColumn id="3" name="Helfpul Description" dataDxfId="4" dataCellStyle="Normal 3"/>
    <tableColumn id="2" name="Section Description" dataDxfId="3"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A7" totalsRowShown="0" headerRowDxfId="2" dataDxfId="1">
  <tableColumns count="1">
    <tableColumn id="1" name="Section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56"/>
  <sheetViews>
    <sheetView showGridLines="0" tabSelected="1" workbookViewId="0"/>
  </sheetViews>
  <sheetFormatPr defaultRowHeight="12.5" x14ac:dyDescent="0.25"/>
  <cols>
    <col min="1" max="1" width="14.81640625" customWidth="1"/>
    <col min="2" max="2" width="12" customWidth="1"/>
    <col min="3" max="3" width="18.54296875" customWidth="1"/>
    <col min="4" max="4" width="20.54296875" customWidth="1"/>
    <col min="5" max="5" width="9.54296875" customWidth="1"/>
    <col min="6" max="6" width="41.1796875" customWidth="1"/>
    <col min="7" max="7" width="13.7265625" customWidth="1"/>
    <col min="8" max="8" width="4.81640625" customWidth="1"/>
    <col min="9" max="9" width="0" hidden="1" customWidth="1"/>
    <col min="10" max="10" width="29" customWidth="1"/>
    <col min="257" max="257" width="14.81640625" customWidth="1"/>
    <col min="258" max="258" width="12" customWidth="1"/>
    <col min="259" max="259" width="18.54296875" customWidth="1"/>
    <col min="260" max="260" width="20.54296875" customWidth="1"/>
    <col min="261" max="261" width="9.54296875" customWidth="1"/>
    <col min="262" max="262" width="41.1796875" customWidth="1"/>
    <col min="263" max="263" width="13.7265625" customWidth="1"/>
    <col min="264" max="264" width="4.81640625" customWidth="1"/>
    <col min="265" max="265" width="0" hidden="1" customWidth="1"/>
    <col min="266" max="266" width="29" customWidth="1"/>
    <col min="513" max="513" width="14.81640625" customWidth="1"/>
    <col min="514" max="514" width="12" customWidth="1"/>
    <col min="515" max="515" width="18.54296875" customWidth="1"/>
    <col min="516" max="516" width="20.54296875" customWidth="1"/>
    <col min="517" max="517" width="9.54296875" customWidth="1"/>
    <col min="518" max="518" width="41.1796875" customWidth="1"/>
    <col min="519" max="519" width="13.7265625" customWidth="1"/>
    <col min="520" max="520" width="4.81640625" customWidth="1"/>
    <col min="521" max="521" width="0" hidden="1" customWidth="1"/>
    <col min="522" max="522" width="29" customWidth="1"/>
    <col min="769" max="769" width="14.81640625" customWidth="1"/>
    <col min="770" max="770" width="12" customWidth="1"/>
    <col min="771" max="771" width="18.54296875" customWidth="1"/>
    <col min="772" max="772" width="20.54296875" customWidth="1"/>
    <col min="773" max="773" width="9.54296875" customWidth="1"/>
    <col min="774" max="774" width="41.1796875" customWidth="1"/>
    <col min="775" max="775" width="13.7265625" customWidth="1"/>
    <col min="776" max="776" width="4.81640625" customWidth="1"/>
    <col min="777" max="777" width="0" hidden="1" customWidth="1"/>
    <col min="778" max="778" width="29" customWidth="1"/>
    <col min="1025" max="1025" width="14.81640625" customWidth="1"/>
    <col min="1026" max="1026" width="12" customWidth="1"/>
    <col min="1027" max="1027" width="18.54296875" customWidth="1"/>
    <col min="1028" max="1028" width="20.54296875" customWidth="1"/>
    <col min="1029" max="1029" width="9.54296875" customWidth="1"/>
    <col min="1030" max="1030" width="41.1796875" customWidth="1"/>
    <col min="1031" max="1031" width="13.7265625" customWidth="1"/>
    <col min="1032" max="1032" width="4.81640625" customWidth="1"/>
    <col min="1033" max="1033" width="0" hidden="1" customWidth="1"/>
    <col min="1034" max="1034" width="29" customWidth="1"/>
    <col min="1281" max="1281" width="14.81640625" customWidth="1"/>
    <col min="1282" max="1282" width="12" customWidth="1"/>
    <col min="1283" max="1283" width="18.54296875" customWidth="1"/>
    <col min="1284" max="1284" width="20.54296875" customWidth="1"/>
    <col min="1285" max="1285" width="9.54296875" customWidth="1"/>
    <col min="1286" max="1286" width="41.1796875" customWidth="1"/>
    <col min="1287" max="1287" width="13.7265625" customWidth="1"/>
    <col min="1288" max="1288" width="4.81640625" customWidth="1"/>
    <col min="1289" max="1289" width="0" hidden="1" customWidth="1"/>
    <col min="1290" max="1290" width="29" customWidth="1"/>
    <col min="1537" max="1537" width="14.81640625" customWidth="1"/>
    <col min="1538" max="1538" width="12" customWidth="1"/>
    <col min="1539" max="1539" width="18.54296875" customWidth="1"/>
    <col min="1540" max="1540" width="20.54296875" customWidth="1"/>
    <col min="1541" max="1541" width="9.54296875" customWidth="1"/>
    <col min="1542" max="1542" width="41.1796875" customWidth="1"/>
    <col min="1543" max="1543" width="13.7265625" customWidth="1"/>
    <col min="1544" max="1544" width="4.81640625" customWidth="1"/>
    <col min="1545" max="1545" width="0" hidden="1" customWidth="1"/>
    <col min="1546" max="1546" width="29" customWidth="1"/>
    <col min="1793" max="1793" width="14.81640625" customWidth="1"/>
    <col min="1794" max="1794" width="12" customWidth="1"/>
    <col min="1795" max="1795" width="18.54296875" customWidth="1"/>
    <col min="1796" max="1796" width="20.54296875" customWidth="1"/>
    <col min="1797" max="1797" width="9.54296875" customWidth="1"/>
    <col min="1798" max="1798" width="41.1796875" customWidth="1"/>
    <col min="1799" max="1799" width="13.7265625" customWidth="1"/>
    <col min="1800" max="1800" width="4.81640625" customWidth="1"/>
    <col min="1801" max="1801" width="0" hidden="1" customWidth="1"/>
    <col min="1802" max="1802" width="29" customWidth="1"/>
    <col min="2049" max="2049" width="14.81640625" customWidth="1"/>
    <col min="2050" max="2050" width="12" customWidth="1"/>
    <col min="2051" max="2051" width="18.54296875" customWidth="1"/>
    <col min="2052" max="2052" width="20.54296875" customWidth="1"/>
    <col min="2053" max="2053" width="9.54296875" customWidth="1"/>
    <col min="2054" max="2054" width="41.1796875" customWidth="1"/>
    <col min="2055" max="2055" width="13.7265625" customWidth="1"/>
    <col min="2056" max="2056" width="4.81640625" customWidth="1"/>
    <col min="2057" max="2057" width="0" hidden="1" customWidth="1"/>
    <col min="2058" max="2058" width="29" customWidth="1"/>
    <col min="2305" max="2305" width="14.81640625" customWidth="1"/>
    <col min="2306" max="2306" width="12" customWidth="1"/>
    <col min="2307" max="2307" width="18.54296875" customWidth="1"/>
    <col min="2308" max="2308" width="20.54296875" customWidth="1"/>
    <col min="2309" max="2309" width="9.54296875" customWidth="1"/>
    <col min="2310" max="2310" width="41.1796875" customWidth="1"/>
    <col min="2311" max="2311" width="13.7265625" customWidth="1"/>
    <col min="2312" max="2312" width="4.81640625" customWidth="1"/>
    <col min="2313" max="2313" width="0" hidden="1" customWidth="1"/>
    <col min="2314" max="2314" width="29" customWidth="1"/>
    <col min="2561" max="2561" width="14.81640625" customWidth="1"/>
    <col min="2562" max="2562" width="12" customWidth="1"/>
    <col min="2563" max="2563" width="18.54296875" customWidth="1"/>
    <col min="2564" max="2564" width="20.54296875" customWidth="1"/>
    <col min="2565" max="2565" width="9.54296875" customWidth="1"/>
    <col min="2566" max="2566" width="41.1796875" customWidth="1"/>
    <col min="2567" max="2567" width="13.7265625" customWidth="1"/>
    <col min="2568" max="2568" width="4.81640625" customWidth="1"/>
    <col min="2569" max="2569" width="0" hidden="1" customWidth="1"/>
    <col min="2570" max="2570" width="29" customWidth="1"/>
    <col min="2817" max="2817" width="14.81640625" customWidth="1"/>
    <col min="2818" max="2818" width="12" customWidth="1"/>
    <col min="2819" max="2819" width="18.54296875" customWidth="1"/>
    <col min="2820" max="2820" width="20.54296875" customWidth="1"/>
    <col min="2821" max="2821" width="9.54296875" customWidth="1"/>
    <col min="2822" max="2822" width="41.1796875" customWidth="1"/>
    <col min="2823" max="2823" width="13.7265625" customWidth="1"/>
    <col min="2824" max="2824" width="4.81640625" customWidth="1"/>
    <col min="2825" max="2825" width="0" hidden="1" customWidth="1"/>
    <col min="2826" max="2826" width="29" customWidth="1"/>
    <col min="3073" max="3073" width="14.81640625" customWidth="1"/>
    <col min="3074" max="3074" width="12" customWidth="1"/>
    <col min="3075" max="3075" width="18.54296875" customWidth="1"/>
    <col min="3076" max="3076" width="20.54296875" customWidth="1"/>
    <col min="3077" max="3077" width="9.54296875" customWidth="1"/>
    <col min="3078" max="3078" width="41.1796875" customWidth="1"/>
    <col min="3079" max="3079" width="13.7265625" customWidth="1"/>
    <col min="3080" max="3080" width="4.81640625" customWidth="1"/>
    <col min="3081" max="3081" width="0" hidden="1" customWidth="1"/>
    <col min="3082" max="3082" width="29" customWidth="1"/>
    <col min="3329" max="3329" width="14.81640625" customWidth="1"/>
    <col min="3330" max="3330" width="12" customWidth="1"/>
    <col min="3331" max="3331" width="18.54296875" customWidth="1"/>
    <col min="3332" max="3332" width="20.54296875" customWidth="1"/>
    <col min="3333" max="3333" width="9.54296875" customWidth="1"/>
    <col min="3334" max="3334" width="41.1796875" customWidth="1"/>
    <col min="3335" max="3335" width="13.7265625" customWidth="1"/>
    <col min="3336" max="3336" width="4.81640625" customWidth="1"/>
    <col min="3337" max="3337" width="0" hidden="1" customWidth="1"/>
    <col min="3338" max="3338" width="29" customWidth="1"/>
    <col min="3585" max="3585" width="14.81640625" customWidth="1"/>
    <col min="3586" max="3586" width="12" customWidth="1"/>
    <col min="3587" max="3587" width="18.54296875" customWidth="1"/>
    <col min="3588" max="3588" width="20.54296875" customWidth="1"/>
    <col min="3589" max="3589" width="9.54296875" customWidth="1"/>
    <col min="3590" max="3590" width="41.1796875" customWidth="1"/>
    <col min="3591" max="3591" width="13.7265625" customWidth="1"/>
    <col min="3592" max="3592" width="4.81640625" customWidth="1"/>
    <col min="3593" max="3593" width="0" hidden="1" customWidth="1"/>
    <col min="3594" max="3594" width="29" customWidth="1"/>
    <col min="3841" max="3841" width="14.81640625" customWidth="1"/>
    <col min="3842" max="3842" width="12" customWidth="1"/>
    <col min="3843" max="3843" width="18.54296875" customWidth="1"/>
    <col min="3844" max="3844" width="20.54296875" customWidth="1"/>
    <col min="3845" max="3845" width="9.54296875" customWidth="1"/>
    <col min="3846" max="3846" width="41.1796875" customWidth="1"/>
    <col min="3847" max="3847" width="13.7265625" customWidth="1"/>
    <col min="3848" max="3848" width="4.81640625" customWidth="1"/>
    <col min="3849" max="3849" width="0" hidden="1" customWidth="1"/>
    <col min="3850" max="3850" width="29" customWidth="1"/>
    <col min="4097" max="4097" width="14.81640625" customWidth="1"/>
    <col min="4098" max="4098" width="12" customWidth="1"/>
    <col min="4099" max="4099" width="18.54296875" customWidth="1"/>
    <col min="4100" max="4100" width="20.54296875" customWidth="1"/>
    <col min="4101" max="4101" width="9.54296875" customWidth="1"/>
    <col min="4102" max="4102" width="41.1796875" customWidth="1"/>
    <col min="4103" max="4103" width="13.7265625" customWidth="1"/>
    <col min="4104" max="4104" width="4.81640625" customWidth="1"/>
    <col min="4105" max="4105" width="0" hidden="1" customWidth="1"/>
    <col min="4106" max="4106" width="29" customWidth="1"/>
    <col min="4353" max="4353" width="14.81640625" customWidth="1"/>
    <col min="4354" max="4354" width="12" customWidth="1"/>
    <col min="4355" max="4355" width="18.54296875" customWidth="1"/>
    <col min="4356" max="4356" width="20.54296875" customWidth="1"/>
    <col min="4357" max="4357" width="9.54296875" customWidth="1"/>
    <col min="4358" max="4358" width="41.1796875" customWidth="1"/>
    <col min="4359" max="4359" width="13.7265625" customWidth="1"/>
    <col min="4360" max="4360" width="4.81640625" customWidth="1"/>
    <col min="4361" max="4361" width="0" hidden="1" customWidth="1"/>
    <col min="4362" max="4362" width="29" customWidth="1"/>
    <col min="4609" max="4609" width="14.81640625" customWidth="1"/>
    <col min="4610" max="4610" width="12" customWidth="1"/>
    <col min="4611" max="4611" width="18.54296875" customWidth="1"/>
    <col min="4612" max="4612" width="20.54296875" customWidth="1"/>
    <col min="4613" max="4613" width="9.54296875" customWidth="1"/>
    <col min="4614" max="4614" width="41.1796875" customWidth="1"/>
    <col min="4615" max="4615" width="13.7265625" customWidth="1"/>
    <col min="4616" max="4616" width="4.81640625" customWidth="1"/>
    <col min="4617" max="4617" width="0" hidden="1" customWidth="1"/>
    <col min="4618" max="4618" width="29" customWidth="1"/>
    <col min="4865" max="4865" width="14.81640625" customWidth="1"/>
    <col min="4866" max="4866" width="12" customWidth="1"/>
    <col min="4867" max="4867" width="18.54296875" customWidth="1"/>
    <col min="4868" max="4868" width="20.54296875" customWidth="1"/>
    <col min="4869" max="4869" width="9.54296875" customWidth="1"/>
    <col min="4870" max="4870" width="41.1796875" customWidth="1"/>
    <col min="4871" max="4871" width="13.7265625" customWidth="1"/>
    <col min="4872" max="4872" width="4.81640625" customWidth="1"/>
    <col min="4873" max="4873" width="0" hidden="1" customWidth="1"/>
    <col min="4874" max="4874" width="29" customWidth="1"/>
    <col min="5121" max="5121" width="14.81640625" customWidth="1"/>
    <col min="5122" max="5122" width="12" customWidth="1"/>
    <col min="5123" max="5123" width="18.54296875" customWidth="1"/>
    <col min="5124" max="5124" width="20.54296875" customWidth="1"/>
    <col min="5125" max="5125" width="9.54296875" customWidth="1"/>
    <col min="5126" max="5126" width="41.1796875" customWidth="1"/>
    <col min="5127" max="5127" width="13.7265625" customWidth="1"/>
    <col min="5128" max="5128" width="4.81640625" customWidth="1"/>
    <col min="5129" max="5129" width="0" hidden="1" customWidth="1"/>
    <col min="5130" max="5130" width="29" customWidth="1"/>
    <col min="5377" max="5377" width="14.81640625" customWidth="1"/>
    <col min="5378" max="5378" width="12" customWidth="1"/>
    <col min="5379" max="5379" width="18.54296875" customWidth="1"/>
    <col min="5380" max="5380" width="20.54296875" customWidth="1"/>
    <col min="5381" max="5381" width="9.54296875" customWidth="1"/>
    <col min="5382" max="5382" width="41.1796875" customWidth="1"/>
    <col min="5383" max="5383" width="13.7265625" customWidth="1"/>
    <col min="5384" max="5384" width="4.81640625" customWidth="1"/>
    <col min="5385" max="5385" width="0" hidden="1" customWidth="1"/>
    <col min="5386" max="5386" width="29" customWidth="1"/>
    <col min="5633" max="5633" width="14.81640625" customWidth="1"/>
    <col min="5634" max="5634" width="12" customWidth="1"/>
    <col min="5635" max="5635" width="18.54296875" customWidth="1"/>
    <col min="5636" max="5636" width="20.54296875" customWidth="1"/>
    <col min="5637" max="5637" width="9.54296875" customWidth="1"/>
    <col min="5638" max="5638" width="41.1796875" customWidth="1"/>
    <col min="5639" max="5639" width="13.7265625" customWidth="1"/>
    <col min="5640" max="5640" width="4.81640625" customWidth="1"/>
    <col min="5641" max="5641" width="0" hidden="1" customWidth="1"/>
    <col min="5642" max="5642" width="29" customWidth="1"/>
    <col min="5889" max="5889" width="14.81640625" customWidth="1"/>
    <col min="5890" max="5890" width="12" customWidth="1"/>
    <col min="5891" max="5891" width="18.54296875" customWidth="1"/>
    <col min="5892" max="5892" width="20.54296875" customWidth="1"/>
    <col min="5893" max="5893" width="9.54296875" customWidth="1"/>
    <col min="5894" max="5894" width="41.1796875" customWidth="1"/>
    <col min="5895" max="5895" width="13.7265625" customWidth="1"/>
    <col min="5896" max="5896" width="4.81640625" customWidth="1"/>
    <col min="5897" max="5897" width="0" hidden="1" customWidth="1"/>
    <col min="5898" max="5898" width="29" customWidth="1"/>
    <col min="6145" max="6145" width="14.81640625" customWidth="1"/>
    <col min="6146" max="6146" width="12" customWidth="1"/>
    <col min="6147" max="6147" width="18.54296875" customWidth="1"/>
    <col min="6148" max="6148" width="20.54296875" customWidth="1"/>
    <col min="6149" max="6149" width="9.54296875" customWidth="1"/>
    <col min="6150" max="6150" width="41.1796875" customWidth="1"/>
    <col min="6151" max="6151" width="13.7265625" customWidth="1"/>
    <col min="6152" max="6152" width="4.81640625" customWidth="1"/>
    <col min="6153" max="6153" width="0" hidden="1" customWidth="1"/>
    <col min="6154" max="6154" width="29" customWidth="1"/>
    <col min="6401" max="6401" width="14.81640625" customWidth="1"/>
    <col min="6402" max="6402" width="12" customWidth="1"/>
    <col min="6403" max="6403" width="18.54296875" customWidth="1"/>
    <col min="6404" max="6404" width="20.54296875" customWidth="1"/>
    <col min="6405" max="6405" width="9.54296875" customWidth="1"/>
    <col min="6406" max="6406" width="41.1796875" customWidth="1"/>
    <col min="6407" max="6407" width="13.7265625" customWidth="1"/>
    <col min="6408" max="6408" width="4.81640625" customWidth="1"/>
    <col min="6409" max="6409" width="0" hidden="1" customWidth="1"/>
    <col min="6410" max="6410" width="29" customWidth="1"/>
    <col min="6657" max="6657" width="14.81640625" customWidth="1"/>
    <col min="6658" max="6658" width="12" customWidth="1"/>
    <col min="6659" max="6659" width="18.54296875" customWidth="1"/>
    <col min="6660" max="6660" width="20.54296875" customWidth="1"/>
    <col min="6661" max="6661" width="9.54296875" customWidth="1"/>
    <col min="6662" max="6662" width="41.1796875" customWidth="1"/>
    <col min="6663" max="6663" width="13.7265625" customWidth="1"/>
    <col min="6664" max="6664" width="4.81640625" customWidth="1"/>
    <col min="6665" max="6665" width="0" hidden="1" customWidth="1"/>
    <col min="6666" max="6666" width="29" customWidth="1"/>
    <col min="6913" max="6913" width="14.81640625" customWidth="1"/>
    <col min="6914" max="6914" width="12" customWidth="1"/>
    <col min="6915" max="6915" width="18.54296875" customWidth="1"/>
    <col min="6916" max="6916" width="20.54296875" customWidth="1"/>
    <col min="6917" max="6917" width="9.54296875" customWidth="1"/>
    <col min="6918" max="6918" width="41.1796875" customWidth="1"/>
    <col min="6919" max="6919" width="13.7265625" customWidth="1"/>
    <col min="6920" max="6920" width="4.81640625" customWidth="1"/>
    <col min="6921" max="6921" width="0" hidden="1" customWidth="1"/>
    <col min="6922" max="6922" width="29" customWidth="1"/>
    <col min="7169" max="7169" width="14.81640625" customWidth="1"/>
    <col min="7170" max="7170" width="12" customWidth="1"/>
    <col min="7171" max="7171" width="18.54296875" customWidth="1"/>
    <col min="7172" max="7172" width="20.54296875" customWidth="1"/>
    <col min="7173" max="7173" width="9.54296875" customWidth="1"/>
    <col min="7174" max="7174" width="41.1796875" customWidth="1"/>
    <col min="7175" max="7175" width="13.7265625" customWidth="1"/>
    <col min="7176" max="7176" width="4.81640625" customWidth="1"/>
    <col min="7177" max="7177" width="0" hidden="1" customWidth="1"/>
    <col min="7178" max="7178" width="29" customWidth="1"/>
    <col min="7425" max="7425" width="14.81640625" customWidth="1"/>
    <col min="7426" max="7426" width="12" customWidth="1"/>
    <col min="7427" max="7427" width="18.54296875" customWidth="1"/>
    <col min="7428" max="7428" width="20.54296875" customWidth="1"/>
    <col min="7429" max="7429" width="9.54296875" customWidth="1"/>
    <col min="7430" max="7430" width="41.1796875" customWidth="1"/>
    <col min="7431" max="7431" width="13.7265625" customWidth="1"/>
    <col min="7432" max="7432" width="4.81640625" customWidth="1"/>
    <col min="7433" max="7433" width="0" hidden="1" customWidth="1"/>
    <col min="7434" max="7434" width="29" customWidth="1"/>
    <col min="7681" max="7681" width="14.81640625" customWidth="1"/>
    <col min="7682" max="7682" width="12" customWidth="1"/>
    <col min="7683" max="7683" width="18.54296875" customWidth="1"/>
    <col min="7684" max="7684" width="20.54296875" customWidth="1"/>
    <col min="7685" max="7685" width="9.54296875" customWidth="1"/>
    <col min="7686" max="7686" width="41.1796875" customWidth="1"/>
    <col min="7687" max="7687" width="13.7265625" customWidth="1"/>
    <col min="7688" max="7688" width="4.81640625" customWidth="1"/>
    <col min="7689" max="7689" width="0" hidden="1" customWidth="1"/>
    <col min="7690" max="7690" width="29" customWidth="1"/>
    <col min="7937" max="7937" width="14.81640625" customWidth="1"/>
    <col min="7938" max="7938" width="12" customWidth="1"/>
    <col min="7939" max="7939" width="18.54296875" customWidth="1"/>
    <col min="7940" max="7940" width="20.54296875" customWidth="1"/>
    <col min="7941" max="7941" width="9.54296875" customWidth="1"/>
    <col min="7942" max="7942" width="41.1796875" customWidth="1"/>
    <col min="7943" max="7943" width="13.7265625" customWidth="1"/>
    <col min="7944" max="7944" width="4.81640625" customWidth="1"/>
    <col min="7945" max="7945" width="0" hidden="1" customWidth="1"/>
    <col min="7946" max="7946" width="29" customWidth="1"/>
    <col min="8193" max="8193" width="14.81640625" customWidth="1"/>
    <col min="8194" max="8194" width="12" customWidth="1"/>
    <col min="8195" max="8195" width="18.54296875" customWidth="1"/>
    <col min="8196" max="8196" width="20.54296875" customWidth="1"/>
    <col min="8197" max="8197" width="9.54296875" customWidth="1"/>
    <col min="8198" max="8198" width="41.1796875" customWidth="1"/>
    <col min="8199" max="8199" width="13.7265625" customWidth="1"/>
    <col min="8200" max="8200" width="4.81640625" customWidth="1"/>
    <col min="8201" max="8201" width="0" hidden="1" customWidth="1"/>
    <col min="8202" max="8202" width="29" customWidth="1"/>
    <col min="8449" max="8449" width="14.81640625" customWidth="1"/>
    <col min="8450" max="8450" width="12" customWidth="1"/>
    <col min="8451" max="8451" width="18.54296875" customWidth="1"/>
    <col min="8452" max="8452" width="20.54296875" customWidth="1"/>
    <col min="8453" max="8453" width="9.54296875" customWidth="1"/>
    <col min="8454" max="8454" width="41.1796875" customWidth="1"/>
    <col min="8455" max="8455" width="13.7265625" customWidth="1"/>
    <col min="8456" max="8456" width="4.81640625" customWidth="1"/>
    <col min="8457" max="8457" width="0" hidden="1" customWidth="1"/>
    <col min="8458" max="8458" width="29" customWidth="1"/>
    <col min="8705" max="8705" width="14.81640625" customWidth="1"/>
    <col min="8706" max="8706" width="12" customWidth="1"/>
    <col min="8707" max="8707" width="18.54296875" customWidth="1"/>
    <col min="8708" max="8708" width="20.54296875" customWidth="1"/>
    <col min="8709" max="8709" width="9.54296875" customWidth="1"/>
    <col min="8710" max="8710" width="41.1796875" customWidth="1"/>
    <col min="8711" max="8711" width="13.7265625" customWidth="1"/>
    <col min="8712" max="8712" width="4.81640625" customWidth="1"/>
    <col min="8713" max="8713" width="0" hidden="1" customWidth="1"/>
    <col min="8714" max="8714" width="29" customWidth="1"/>
    <col min="8961" max="8961" width="14.81640625" customWidth="1"/>
    <col min="8962" max="8962" width="12" customWidth="1"/>
    <col min="8963" max="8963" width="18.54296875" customWidth="1"/>
    <col min="8964" max="8964" width="20.54296875" customWidth="1"/>
    <col min="8965" max="8965" width="9.54296875" customWidth="1"/>
    <col min="8966" max="8966" width="41.1796875" customWidth="1"/>
    <col min="8967" max="8967" width="13.7265625" customWidth="1"/>
    <col min="8968" max="8968" width="4.81640625" customWidth="1"/>
    <col min="8969" max="8969" width="0" hidden="1" customWidth="1"/>
    <col min="8970" max="8970" width="29" customWidth="1"/>
    <col min="9217" max="9217" width="14.81640625" customWidth="1"/>
    <col min="9218" max="9218" width="12" customWidth="1"/>
    <col min="9219" max="9219" width="18.54296875" customWidth="1"/>
    <col min="9220" max="9220" width="20.54296875" customWidth="1"/>
    <col min="9221" max="9221" width="9.54296875" customWidth="1"/>
    <col min="9222" max="9222" width="41.1796875" customWidth="1"/>
    <col min="9223" max="9223" width="13.7265625" customWidth="1"/>
    <col min="9224" max="9224" width="4.81640625" customWidth="1"/>
    <col min="9225" max="9225" width="0" hidden="1" customWidth="1"/>
    <col min="9226" max="9226" width="29" customWidth="1"/>
    <col min="9473" max="9473" width="14.81640625" customWidth="1"/>
    <col min="9474" max="9474" width="12" customWidth="1"/>
    <col min="9475" max="9475" width="18.54296875" customWidth="1"/>
    <col min="9476" max="9476" width="20.54296875" customWidth="1"/>
    <col min="9477" max="9477" width="9.54296875" customWidth="1"/>
    <col min="9478" max="9478" width="41.1796875" customWidth="1"/>
    <col min="9479" max="9479" width="13.7265625" customWidth="1"/>
    <col min="9480" max="9480" width="4.81640625" customWidth="1"/>
    <col min="9481" max="9481" width="0" hidden="1" customWidth="1"/>
    <col min="9482" max="9482" width="29" customWidth="1"/>
    <col min="9729" max="9729" width="14.81640625" customWidth="1"/>
    <col min="9730" max="9730" width="12" customWidth="1"/>
    <col min="9731" max="9731" width="18.54296875" customWidth="1"/>
    <col min="9732" max="9732" width="20.54296875" customWidth="1"/>
    <col min="9733" max="9733" width="9.54296875" customWidth="1"/>
    <col min="9734" max="9734" width="41.1796875" customWidth="1"/>
    <col min="9735" max="9735" width="13.7265625" customWidth="1"/>
    <col min="9736" max="9736" width="4.81640625" customWidth="1"/>
    <col min="9737" max="9737" width="0" hidden="1" customWidth="1"/>
    <col min="9738" max="9738" width="29" customWidth="1"/>
    <col min="9985" max="9985" width="14.81640625" customWidth="1"/>
    <col min="9986" max="9986" width="12" customWidth="1"/>
    <col min="9987" max="9987" width="18.54296875" customWidth="1"/>
    <col min="9988" max="9988" width="20.54296875" customWidth="1"/>
    <col min="9989" max="9989" width="9.54296875" customWidth="1"/>
    <col min="9990" max="9990" width="41.1796875" customWidth="1"/>
    <col min="9991" max="9991" width="13.7265625" customWidth="1"/>
    <col min="9992" max="9992" width="4.81640625" customWidth="1"/>
    <col min="9993" max="9993" width="0" hidden="1" customWidth="1"/>
    <col min="9994" max="9994" width="29" customWidth="1"/>
    <col min="10241" max="10241" width="14.81640625" customWidth="1"/>
    <col min="10242" max="10242" width="12" customWidth="1"/>
    <col min="10243" max="10243" width="18.54296875" customWidth="1"/>
    <col min="10244" max="10244" width="20.54296875" customWidth="1"/>
    <col min="10245" max="10245" width="9.54296875" customWidth="1"/>
    <col min="10246" max="10246" width="41.1796875" customWidth="1"/>
    <col min="10247" max="10247" width="13.7265625" customWidth="1"/>
    <col min="10248" max="10248" width="4.81640625" customWidth="1"/>
    <col min="10249" max="10249" width="0" hidden="1" customWidth="1"/>
    <col min="10250" max="10250" width="29" customWidth="1"/>
    <col min="10497" max="10497" width="14.81640625" customWidth="1"/>
    <col min="10498" max="10498" width="12" customWidth="1"/>
    <col min="10499" max="10499" width="18.54296875" customWidth="1"/>
    <col min="10500" max="10500" width="20.54296875" customWidth="1"/>
    <col min="10501" max="10501" width="9.54296875" customWidth="1"/>
    <col min="10502" max="10502" width="41.1796875" customWidth="1"/>
    <col min="10503" max="10503" width="13.7265625" customWidth="1"/>
    <col min="10504" max="10504" width="4.81640625" customWidth="1"/>
    <col min="10505" max="10505" width="0" hidden="1" customWidth="1"/>
    <col min="10506" max="10506" width="29" customWidth="1"/>
    <col min="10753" max="10753" width="14.81640625" customWidth="1"/>
    <col min="10754" max="10754" width="12" customWidth="1"/>
    <col min="10755" max="10755" width="18.54296875" customWidth="1"/>
    <col min="10756" max="10756" width="20.54296875" customWidth="1"/>
    <col min="10757" max="10757" width="9.54296875" customWidth="1"/>
    <col min="10758" max="10758" width="41.1796875" customWidth="1"/>
    <col min="10759" max="10759" width="13.7265625" customWidth="1"/>
    <col min="10760" max="10760" width="4.81640625" customWidth="1"/>
    <col min="10761" max="10761" width="0" hidden="1" customWidth="1"/>
    <col min="10762" max="10762" width="29" customWidth="1"/>
    <col min="11009" max="11009" width="14.81640625" customWidth="1"/>
    <col min="11010" max="11010" width="12" customWidth="1"/>
    <col min="11011" max="11011" width="18.54296875" customWidth="1"/>
    <col min="11012" max="11012" width="20.54296875" customWidth="1"/>
    <col min="11013" max="11013" width="9.54296875" customWidth="1"/>
    <col min="11014" max="11014" width="41.1796875" customWidth="1"/>
    <col min="11015" max="11015" width="13.7265625" customWidth="1"/>
    <col min="11016" max="11016" width="4.81640625" customWidth="1"/>
    <col min="11017" max="11017" width="0" hidden="1" customWidth="1"/>
    <col min="11018" max="11018" width="29" customWidth="1"/>
    <col min="11265" max="11265" width="14.81640625" customWidth="1"/>
    <col min="11266" max="11266" width="12" customWidth="1"/>
    <col min="11267" max="11267" width="18.54296875" customWidth="1"/>
    <col min="11268" max="11268" width="20.54296875" customWidth="1"/>
    <col min="11269" max="11269" width="9.54296875" customWidth="1"/>
    <col min="11270" max="11270" width="41.1796875" customWidth="1"/>
    <col min="11271" max="11271" width="13.7265625" customWidth="1"/>
    <col min="11272" max="11272" width="4.81640625" customWidth="1"/>
    <col min="11273" max="11273" width="0" hidden="1" customWidth="1"/>
    <col min="11274" max="11274" width="29" customWidth="1"/>
    <col min="11521" max="11521" width="14.81640625" customWidth="1"/>
    <col min="11522" max="11522" width="12" customWidth="1"/>
    <col min="11523" max="11523" width="18.54296875" customWidth="1"/>
    <col min="11524" max="11524" width="20.54296875" customWidth="1"/>
    <col min="11525" max="11525" width="9.54296875" customWidth="1"/>
    <col min="11526" max="11526" width="41.1796875" customWidth="1"/>
    <col min="11527" max="11527" width="13.7265625" customWidth="1"/>
    <col min="11528" max="11528" width="4.81640625" customWidth="1"/>
    <col min="11529" max="11529" width="0" hidden="1" customWidth="1"/>
    <col min="11530" max="11530" width="29" customWidth="1"/>
    <col min="11777" max="11777" width="14.81640625" customWidth="1"/>
    <col min="11778" max="11778" width="12" customWidth="1"/>
    <col min="11779" max="11779" width="18.54296875" customWidth="1"/>
    <col min="11780" max="11780" width="20.54296875" customWidth="1"/>
    <col min="11781" max="11781" width="9.54296875" customWidth="1"/>
    <col min="11782" max="11782" width="41.1796875" customWidth="1"/>
    <col min="11783" max="11783" width="13.7265625" customWidth="1"/>
    <col min="11784" max="11784" width="4.81640625" customWidth="1"/>
    <col min="11785" max="11785" width="0" hidden="1" customWidth="1"/>
    <col min="11786" max="11786" width="29" customWidth="1"/>
    <col min="12033" max="12033" width="14.81640625" customWidth="1"/>
    <col min="12034" max="12034" width="12" customWidth="1"/>
    <col min="12035" max="12035" width="18.54296875" customWidth="1"/>
    <col min="12036" max="12036" width="20.54296875" customWidth="1"/>
    <col min="12037" max="12037" width="9.54296875" customWidth="1"/>
    <col min="12038" max="12038" width="41.1796875" customWidth="1"/>
    <col min="12039" max="12039" width="13.7265625" customWidth="1"/>
    <col min="12040" max="12040" width="4.81640625" customWidth="1"/>
    <col min="12041" max="12041" width="0" hidden="1" customWidth="1"/>
    <col min="12042" max="12042" width="29" customWidth="1"/>
    <col min="12289" max="12289" width="14.81640625" customWidth="1"/>
    <col min="12290" max="12290" width="12" customWidth="1"/>
    <col min="12291" max="12291" width="18.54296875" customWidth="1"/>
    <col min="12292" max="12292" width="20.54296875" customWidth="1"/>
    <col min="12293" max="12293" width="9.54296875" customWidth="1"/>
    <col min="12294" max="12294" width="41.1796875" customWidth="1"/>
    <col min="12295" max="12295" width="13.7265625" customWidth="1"/>
    <col min="12296" max="12296" width="4.81640625" customWidth="1"/>
    <col min="12297" max="12297" width="0" hidden="1" customWidth="1"/>
    <col min="12298" max="12298" width="29" customWidth="1"/>
    <col min="12545" max="12545" width="14.81640625" customWidth="1"/>
    <col min="12546" max="12546" width="12" customWidth="1"/>
    <col min="12547" max="12547" width="18.54296875" customWidth="1"/>
    <col min="12548" max="12548" width="20.54296875" customWidth="1"/>
    <col min="12549" max="12549" width="9.54296875" customWidth="1"/>
    <col min="12550" max="12550" width="41.1796875" customWidth="1"/>
    <col min="12551" max="12551" width="13.7265625" customWidth="1"/>
    <col min="12552" max="12552" width="4.81640625" customWidth="1"/>
    <col min="12553" max="12553" width="0" hidden="1" customWidth="1"/>
    <col min="12554" max="12554" width="29" customWidth="1"/>
    <col min="12801" max="12801" width="14.81640625" customWidth="1"/>
    <col min="12802" max="12802" width="12" customWidth="1"/>
    <col min="12803" max="12803" width="18.54296875" customWidth="1"/>
    <col min="12804" max="12804" width="20.54296875" customWidth="1"/>
    <col min="12805" max="12805" width="9.54296875" customWidth="1"/>
    <col min="12806" max="12806" width="41.1796875" customWidth="1"/>
    <col min="12807" max="12807" width="13.7265625" customWidth="1"/>
    <col min="12808" max="12808" width="4.81640625" customWidth="1"/>
    <col min="12809" max="12809" width="0" hidden="1" customWidth="1"/>
    <col min="12810" max="12810" width="29" customWidth="1"/>
    <col min="13057" max="13057" width="14.81640625" customWidth="1"/>
    <col min="13058" max="13058" width="12" customWidth="1"/>
    <col min="13059" max="13059" width="18.54296875" customWidth="1"/>
    <col min="13060" max="13060" width="20.54296875" customWidth="1"/>
    <col min="13061" max="13061" width="9.54296875" customWidth="1"/>
    <col min="13062" max="13062" width="41.1796875" customWidth="1"/>
    <col min="13063" max="13063" width="13.7265625" customWidth="1"/>
    <col min="13064" max="13064" width="4.81640625" customWidth="1"/>
    <col min="13065" max="13065" width="0" hidden="1" customWidth="1"/>
    <col min="13066" max="13066" width="29" customWidth="1"/>
    <col min="13313" max="13313" width="14.81640625" customWidth="1"/>
    <col min="13314" max="13314" width="12" customWidth="1"/>
    <col min="13315" max="13315" width="18.54296875" customWidth="1"/>
    <col min="13316" max="13316" width="20.54296875" customWidth="1"/>
    <col min="13317" max="13317" width="9.54296875" customWidth="1"/>
    <col min="13318" max="13318" width="41.1796875" customWidth="1"/>
    <col min="13319" max="13319" width="13.7265625" customWidth="1"/>
    <col min="13320" max="13320" width="4.81640625" customWidth="1"/>
    <col min="13321" max="13321" width="0" hidden="1" customWidth="1"/>
    <col min="13322" max="13322" width="29" customWidth="1"/>
    <col min="13569" max="13569" width="14.81640625" customWidth="1"/>
    <col min="13570" max="13570" width="12" customWidth="1"/>
    <col min="13571" max="13571" width="18.54296875" customWidth="1"/>
    <col min="13572" max="13572" width="20.54296875" customWidth="1"/>
    <col min="13573" max="13573" width="9.54296875" customWidth="1"/>
    <col min="13574" max="13574" width="41.1796875" customWidth="1"/>
    <col min="13575" max="13575" width="13.7265625" customWidth="1"/>
    <col min="13576" max="13576" width="4.81640625" customWidth="1"/>
    <col min="13577" max="13577" width="0" hidden="1" customWidth="1"/>
    <col min="13578" max="13578" width="29" customWidth="1"/>
    <col min="13825" max="13825" width="14.81640625" customWidth="1"/>
    <col min="13826" max="13826" width="12" customWidth="1"/>
    <col min="13827" max="13827" width="18.54296875" customWidth="1"/>
    <col min="13828" max="13828" width="20.54296875" customWidth="1"/>
    <col min="13829" max="13829" width="9.54296875" customWidth="1"/>
    <col min="13830" max="13830" width="41.1796875" customWidth="1"/>
    <col min="13831" max="13831" width="13.7265625" customWidth="1"/>
    <col min="13832" max="13832" width="4.81640625" customWidth="1"/>
    <col min="13833" max="13833" width="0" hidden="1" customWidth="1"/>
    <col min="13834" max="13834" width="29" customWidth="1"/>
    <col min="14081" max="14081" width="14.81640625" customWidth="1"/>
    <col min="14082" max="14082" width="12" customWidth="1"/>
    <col min="14083" max="14083" width="18.54296875" customWidth="1"/>
    <col min="14084" max="14084" width="20.54296875" customWidth="1"/>
    <col min="14085" max="14085" width="9.54296875" customWidth="1"/>
    <col min="14086" max="14086" width="41.1796875" customWidth="1"/>
    <col min="14087" max="14087" width="13.7265625" customWidth="1"/>
    <col min="14088" max="14088" width="4.81640625" customWidth="1"/>
    <col min="14089" max="14089" width="0" hidden="1" customWidth="1"/>
    <col min="14090" max="14090" width="29" customWidth="1"/>
    <col min="14337" max="14337" width="14.81640625" customWidth="1"/>
    <col min="14338" max="14338" width="12" customWidth="1"/>
    <col min="14339" max="14339" width="18.54296875" customWidth="1"/>
    <col min="14340" max="14340" width="20.54296875" customWidth="1"/>
    <col min="14341" max="14341" width="9.54296875" customWidth="1"/>
    <col min="14342" max="14342" width="41.1796875" customWidth="1"/>
    <col min="14343" max="14343" width="13.7265625" customWidth="1"/>
    <col min="14344" max="14344" width="4.81640625" customWidth="1"/>
    <col min="14345" max="14345" width="0" hidden="1" customWidth="1"/>
    <col min="14346" max="14346" width="29" customWidth="1"/>
    <col min="14593" max="14593" width="14.81640625" customWidth="1"/>
    <col min="14594" max="14594" width="12" customWidth="1"/>
    <col min="14595" max="14595" width="18.54296875" customWidth="1"/>
    <col min="14596" max="14596" width="20.54296875" customWidth="1"/>
    <col min="14597" max="14597" width="9.54296875" customWidth="1"/>
    <col min="14598" max="14598" width="41.1796875" customWidth="1"/>
    <col min="14599" max="14599" width="13.7265625" customWidth="1"/>
    <col min="14600" max="14600" width="4.81640625" customWidth="1"/>
    <col min="14601" max="14601" width="0" hidden="1" customWidth="1"/>
    <col min="14602" max="14602" width="29" customWidth="1"/>
    <col min="14849" max="14849" width="14.81640625" customWidth="1"/>
    <col min="14850" max="14850" width="12" customWidth="1"/>
    <col min="14851" max="14851" width="18.54296875" customWidth="1"/>
    <col min="14852" max="14852" width="20.54296875" customWidth="1"/>
    <col min="14853" max="14853" width="9.54296875" customWidth="1"/>
    <col min="14854" max="14854" width="41.1796875" customWidth="1"/>
    <col min="14855" max="14855" width="13.7265625" customWidth="1"/>
    <col min="14856" max="14856" width="4.81640625" customWidth="1"/>
    <col min="14857" max="14857" width="0" hidden="1" customWidth="1"/>
    <col min="14858" max="14858" width="29" customWidth="1"/>
    <col min="15105" max="15105" width="14.81640625" customWidth="1"/>
    <col min="15106" max="15106" width="12" customWidth="1"/>
    <col min="15107" max="15107" width="18.54296875" customWidth="1"/>
    <col min="15108" max="15108" width="20.54296875" customWidth="1"/>
    <col min="15109" max="15109" width="9.54296875" customWidth="1"/>
    <col min="15110" max="15110" width="41.1796875" customWidth="1"/>
    <col min="15111" max="15111" width="13.7265625" customWidth="1"/>
    <col min="15112" max="15112" width="4.81640625" customWidth="1"/>
    <col min="15113" max="15113" width="0" hidden="1" customWidth="1"/>
    <col min="15114" max="15114" width="29" customWidth="1"/>
    <col min="15361" max="15361" width="14.81640625" customWidth="1"/>
    <col min="15362" max="15362" width="12" customWidth="1"/>
    <col min="15363" max="15363" width="18.54296875" customWidth="1"/>
    <col min="15364" max="15364" width="20.54296875" customWidth="1"/>
    <col min="15365" max="15365" width="9.54296875" customWidth="1"/>
    <col min="15366" max="15366" width="41.1796875" customWidth="1"/>
    <col min="15367" max="15367" width="13.7265625" customWidth="1"/>
    <col min="15368" max="15368" width="4.81640625" customWidth="1"/>
    <col min="15369" max="15369" width="0" hidden="1" customWidth="1"/>
    <col min="15370" max="15370" width="29" customWidth="1"/>
    <col min="15617" max="15617" width="14.81640625" customWidth="1"/>
    <col min="15618" max="15618" width="12" customWidth="1"/>
    <col min="15619" max="15619" width="18.54296875" customWidth="1"/>
    <col min="15620" max="15620" width="20.54296875" customWidth="1"/>
    <col min="15621" max="15621" width="9.54296875" customWidth="1"/>
    <col min="15622" max="15622" width="41.1796875" customWidth="1"/>
    <col min="15623" max="15623" width="13.7265625" customWidth="1"/>
    <col min="15624" max="15624" width="4.81640625" customWidth="1"/>
    <col min="15625" max="15625" width="0" hidden="1" customWidth="1"/>
    <col min="15626" max="15626" width="29" customWidth="1"/>
    <col min="15873" max="15873" width="14.81640625" customWidth="1"/>
    <col min="15874" max="15874" width="12" customWidth="1"/>
    <col min="15875" max="15875" width="18.54296875" customWidth="1"/>
    <col min="15876" max="15876" width="20.54296875" customWidth="1"/>
    <col min="15877" max="15877" width="9.54296875" customWidth="1"/>
    <col min="15878" max="15878" width="41.1796875" customWidth="1"/>
    <col min="15879" max="15879" width="13.7265625" customWidth="1"/>
    <col min="15880" max="15880" width="4.81640625" customWidth="1"/>
    <col min="15881" max="15881" width="0" hidden="1" customWidth="1"/>
    <col min="15882" max="15882" width="29" customWidth="1"/>
    <col min="16129" max="16129" width="14.81640625" customWidth="1"/>
    <col min="16130" max="16130" width="12" customWidth="1"/>
    <col min="16131" max="16131" width="18.54296875" customWidth="1"/>
    <col min="16132" max="16132" width="20.54296875" customWidth="1"/>
    <col min="16133" max="16133" width="9.54296875" customWidth="1"/>
    <col min="16134" max="16134" width="41.1796875" customWidth="1"/>
    <col min="16135" max="16135" width="13.7265625" customWidth="1"/>
    <col min="16136" max="16136" width="4.81640625" customWidth="1"/>
    <col min="16137" max="16137" width="0" hidden="1" customWidth="1"/>
    <col min="16138" max="16138" width="29" customWidth="1"/>
  </cols>
  <sheetData>
    <row r="1" spans="1:8" ht="25" x14ac:dyDescent="0.25">
      <c r="A1" s="25" t="s">
        <v>337</v>
      </c>
      <c r="B1" s="25" t="s">
        <v>338</v>
      </c>
      <c r="C1" s="25" t="s">
        <v>339</v>
      </c>
      <c r="D1" s="25" t="s">
        <v>340</v>
      </c>
      <c r="E1" s="25" t="s">
        <v>293</v>
      </c>
      <c r="F1" s="25" t="s">
        <v>341</v>
      </c>
      <c r="G1" s="25" t="s">
        <v>342</v>
      </c>
      <c r="H1" s="25" t="s">
        <v>343</v>
      </c>
    </row>
    <row r="2" spans="1:8" ht="25" x14ac:dyDescent="0.25">
      <c r="A2" s="25" t="s">
        <v>40</v>
      </c>
      <c r="B2" s="25"/>
      <c r="C2" s="25" t="s">
        <v>344</v>
      </c>
      <c r="D2" s="25" t="s">
        <v>345</v>
      </c>
      <c r="E2" s="25"/>
      <c r="F2" s="25" t="s">
        <v>346</v>
      </c>
      <c r="G2" s="25" t="s">
        <v>347</v>
      </c>
      <c r="H2" s="25">
        <v>2012</v>
      </c>
    </row>
    <row r="3" spans="1:8" ht="25" x14ac:dyDescent="0.25">
      <c r="A3" s="25" t="s">
        <v>40</v>
      </c>
      <c r="B3" s="25"/>
      <c r="C3" s="25" t="s">
        <v>348</v>
      </c>
      <c r="D3" s="25" t="s">
        <v>349</v>
      </c>
      <c r="E3" s="25"/>
      <c r="F3" s="25" t="s">
        <v>350</v>
      </c>
      <c r="G3" s="25" t="s">
        <v>351</v>
      </c>
      <c r="H3" s="25">
        <v>2012</v>
      </c>
    </row>
    <row r="4" spans="1:8" ht="25" x14ac:dyDescent="0.25">
      <c r="A4" s="25" t="s">
        <v>40</v>
      </c>
      <c r="B4" s="25"/>
      <c r="C4" s="25" t="s">
        <v>352</v>
      </c>
      <c r="D4" s="25" t="s">
        <v>353</v>
      </c>
      <c r="E4" s="25"/>
      <c r="F4" s="25" t="s">
        <v>354</v>
      </c>
      <c r="G4" s="25" t="s">
        <v>355</v>
      </c>
      <c r="H4" s="25">
        <v>2013</v>
      </c>
    </row>
    <row r="5" spans="1:8" x14ac:dyDescent="0.25">
      <c r="A5" s="25" t="s">
        <v>40</v>
      </c>
      <c r="B5" s="25"/>
      <c r="C5" s="25" t="s">
        <v>356</v>
      </c>
      <c r="D5" s="25" t="s">
        <v>357</v>
      </c>
      <c r="E5" s="25"/>
      <c r="F5" s="25" t="s">
        <v>358</v>
      </c>
      <c r="G5" s="25" t="s">
        <v>359</v>
      </c>
      <c r="H5" s="25">
        <v>2012</v>
      </c>
    </row>
    <row r="6" spans="1:8" ht="25" x14ac:dyDescent="0.25">
      <c r="A6" s="25" t="s">
        <v>40</v>
      </c>
      <c r="B6" s="25"/>
      <c r="C6" s="25" t="s">
        <v>360</v>
      </c>
      <c r="D6" s="25" t="s">
        <v>361</v>
      </c>
      <c r="E6" s="25"/>
      <c r="F6" s="25" t="s">
        <v>362</v>
      </c>
      <c r="G6" s="25" t="s">
        <v>363</v>
      </c>
      <c r="H6" s="25">
        <v>2010</v>
      </c>
    </row>
    <row r="7" spans="1:8" ht="25" x14ac:dyDescent="0.25">
      <c r="A7" s="25" t="s">
        <v>40</v>
      </c>
      <c r="B7" s="25"/>
      <c r="C7" s="25" t="s">
        <v>364</v>
      </c>
      <c r="D7" s="25" t="s">
        <v>365</v>
      </c>
      <c r="E7" s="25"/>
      <c r="F7" s="25" t="s">
        <v>366</v>
      </c>
      <c r="G7" s="25" t="s">
        <v>367</v>
      </c>
      <c r="H7" s="25">
        <v>2013</v>
      </c>
    </row>
    <row r="8" spans="1:8" ht="25" x14ac:dyDescent="0.25">
      <c r="A8" s="25" t="s">
        <v>20</v>
      </c>
      <c r="B8" s="25"/>
      <c r="C8" s="25" t="s">
        <v>368</v>
      </c>
      <c r="D8" s="25" t="s">
        <v>369</v>
      </c>
      <c r="E8" s="25"/>
      <c r="F8" s="25" t="s">
        <v>370</v>
      </c>
      <c r="G8" s="25" t="s">
        <v>371</v>
      </c>
      <c r="H8" s="25">
        <v>2011</v>
      </c>
    </row>
    <row r="9" spans="1:8" x14ac:dyDescent="0.25">
      <c r="A9" s="25" t="s">
        <v>36</v>
      </c>
      <c r="B9" s="25"/>
      <c r="C9" s="25" t="s">
        <v>372</v>
      </c>
      <c r="D9" s="25" t="s">
        <v>373</v>
      </c>
      <c r="E9" s="25"/>
      <c r="F9" s="25" t="s">
        <v>374</v>
      </c>
      <c r="G9" s="25" t="s">
        <v>375</v>
      </c>
      <c r="H9" s="25">
        <v>2012</v>
      </c>
    </row>
    <row r="10" spans="1:8" x14ac:dyDescent="0.25">
      <c r="A10" s="25" t="s">
        <v>36</v>
      </c>
      <c r="B10" s="25"/>
      <c r="C10" s="25" t="s">
        <v>376</v>
      </c>
      <c r="D10" s="25" t="s">
        <v>377</v>
      </c>
      <c r="E10" s="25"/>
      <c r="F10" s="25" t="s">
        <v>378</v>
      </c>
      <c r="G10" s="25" t="s">
        <v>379</v>
      </c>
      <c r="H10" s="25">
        <v>2003</v>
      </c>
    </row>
    <row r="11" spans="1:8" ht="25" x14ac:dyDescent="0.25">
      <c r="A11" s="25" t="s">
        <v>36</v>
      </c>
      <c r="B11" s="25"/>
      <c r="C11" s="25" t="s">
        <v>380</v>
      </c>
      <c r="D11" s="25" t="s">
        <v>381</v>
      </c>
      <c r="E11" s="25"/>
      <c r="F11" s="25" t="s">
        <v>382</v>
      </c>
      <c r="G11" s="25" t="s">
        <v>383</v>
      </c>
      <c r="H11" s="25">
        <v>2009</v>
      </c>
    </row>
    <row r="12" spans="1:8" ht="25" x14ac:dyDescent="0.25">
      <c r="A12" s="25" t="s">
        <v>36</v>
      </c>
      <c r="B12" s="25"/>
      <c r="C12" s="25" t="s">
        <v>384</v>
      </c>
      <c r="D12" s="25" t="s">
        <v>385</v>
      </c>
      <c r="E12" s="25"/>
      <c r="F12" s="25" t="s">
        <v>386</v>
      </c>
      <c r="G12" s="25" t="s">
        <v>387</v>
      </c>
      <c r="H12" s="25">
        <v>2011</v>
      </c>
    </row>
    <row r="13" spans="1:8" ht="25" x14ac:dyDescent="0.25">
      <c r="A13" s="25" t="s">
        <v>36</v>
      </c>
      <c r="B13" s="25"/>
      <c r="C13" s="25" t="s">
        <v>388</v>
      </c>
      <c r="D13" s="25" t="s">
        <v>389</v>
      </c>
      <c r="E13" s="25"/>
      <c r="F13" s="25" t="s">
        <v>390</v>
      </c>
      <c r="G13" s="25" t="s">
        <v>391</v>
      </c>
      <c r="H13" s="25">
        <v>2011</v>
      </c>
    </row>
    <row r="14" spans="1:8" ht="37.5" x14ac:dyDescent="0.25">
      <c r="A14" s="25" t="s">
        <v>36</v>
      </c>
      <c r="B14" s="25"/>
      <c r="C14" s="25" t="s">
        <v>392</v>
      </c>
      <c r="D14" s="25" t="s">
        <v>393</v>
      </c>
      <c r="E14" s="25"/>
      <c r="F14" s="25" t="s">
        <v>394</v>
      </c>
      <c r="G14" s="25" t="s">
        <v>395</v>
      </c>
      <c r="H14" s="25">
        <v>2012</v>
      </c>
    </row>
    <row r="15" spans="1:8" ht="25" x14ac:dyDescent="0.25">
      <c r="A15" s="25" t="s">
        <v>36</v>
      </c>
      <c r="B15" s="25"/>
      <c r="C15" s="25" t="s">
        <v>396</v>
      </c>
      <c r="D15" s="25" t="s">
        <v>397</v>
      </c>
      <c r="E15" s="25"/>
      <c r="F15" s="25" t="s">
        <v>398</v>
      </c>
      <c r="G15" s="25" t="s">
        <v>399</v>
      </c>
      <c r="H15" s="25">
        <v>2011</v>
      </c>
    </row>
    <row r="16" spans="1:8" x14ac:dyDescent="0.25">
      <c r="A16" s="25" t="s">
        <v>36</v>
      </c>
      <c r="B16" s="25"/>
      <c r="C16" s="25" t="s">
        <v>400</v>
      </c>
      <c r="D16" s="25" t="s">
        <v>401</v>
      </c>
      <c r="E16" s="25"/>
      <c r="F16" s="25" t="s">
        <v>402</v>
      </c>
      <c r="G16" s="25" t="s">
        <v>403</v>
      </c>
      <c r="H16" s="25">
        <v>2009</v>
      </c>
    </row>
    <row r="17" spans="1:8" ht="25" x14ac:dyDescent="0.25">
      <c r="A17" s="25" t="s">
        <v>36</v>
      </c>
      <c r="B17" s="25"/>
      <c r="C17" s="25" t="s">
        <v>404</v>
      </c>
      <c r="D17" s="25" t="s">
        <v>405</v>
      </c>
      <c r="E17" s="25"/>
      <c r="F17" s="25" t="s">
        <v>406</v>
      </c>
      <c r="G17" s="25" t="s">
        <v>407</v>
      </c>
      <c r="H17" s="25">
        <v>1993</v>
      </c>
    </row>
    <row r="18" spans="1:8" ht="37.5" x14ac:dyDescent="0.25">
      <c r="A18" s="25" t="s">
        <v>5</v>
      </c>
      <c r="B18" s="25"/>
      <c r="C18" s="25" t="s">
        <v>408</v>
      </c>
      <c r="D18" s="25"/>
      <c r="E18" s="25"/>
      <c r="F18" s="25" t="s">
        <v>409</v>
      </c>
      <c r="G18" s="25" t="s">
        <v>410</v>
      </c>
      <c r="H18" s="25">
        <v>2010</v>
      </c>
    </row>
    <row r="19" spans="1:8" ht="37.5" x14ac:dyDescent="0.25">
      <c r="A19" s="25" t="s">
        <v>6</v>
      </c>
      <c r="B19" s="25"/>
      <c r="C19" s="25" t="s">
        <v>411</v>
      </c>
      <c r="D19" s="25"/>
      <c r="E19" s="25"/>
      <c r="F19" s="25" t="s">
        <v>412</v>
      </c>
      <c r="G19" s="25" t="s">
        <v>413</v>
      </c>
      <c r="H19" s="25">
        <v>2000</v>
      </c>
    </row>
    <row r="20" spans="1:8" ht="37.5" x14ac:dyDescent="0.25">
      <c r="A20" s="25" t="s">
        <v>6</v>
      </c>
      <c r="B20" s="25"/>
      <c r="C20" s="25" t="s">
        <v>414</v>
      </c>
      <c r="D20" s="25"/>
      <c r="E20" s="25"/>
      <c r="F20" s="25" t="s">
        <v>415</v>
      </c>
      <c r="G20" s="25" t="s">
        <v>416</v>
      </c>
      <c r="H20" s="25">
        <v>2009</v>
      </c>
    </row>
    <row r="21" spans="1:8" ht="37.5" x14ac:dyDescent="0.25">
      <c r="A21" s="25" t="s">
        <v>6</v>
      </c>
      <c r="B21" s="25"/>
      <c r="C21" s="25" t="s">
        <v>417</v>
      </c>
      <c r="D21" s="25"/>
      <c r="E21" s="25"/>
      <c r="F21" s="25" t="s">
        <v>418</v>
      </c>
      <c r="G21" s="25" t="s">
        <v>419</v>
      </c>
      <c r="H21" s="25">
        <v>2011</v>
      </c>
    </row>
    <row r="22" spans="1:8" ht="37.5" x14ac:dyDescent="0.25">
      <c r="A22" s="25" t="s">
        <v>6</v>
      </c>
      <c r="B22" s="25"/>
      <c r="C22" s="25" t="s">
        <v>421</v>
      </c>
      <c r="D22" s="25"/>
      <c r="E22" s="25"/>
      <c r="F22" s="25" t="s">
        <v>422</v>
      </c>
      <c r="G22" s="25" t="s">
        <v>423</v>
      </c>
      <c r="H22" s="25">
        <v>2007</v>
      </c>
    </row>
    <row r="23" spans="1:8" x14ac:dyDescent="0.25">
      <c r="A23" s="25" t="s">
        <v>6</v>
      </c>
      <c r="B23" s="25"/>
      <c r="C23" s="25" t="s">
        <v>424</v>
      </c>
      <c r="D23" s="25"/>
      <c r="E23" s="25"/>
      <c r="F23" s="25" t="s">
        <v>425</v>
      </c>
      <c r="G23" s="25"/>
      <c r="H23" s="25">
        <v>2014</v>
      </c>
    </row>
    <row r="24" spans="1:8" ht="25" x14ac:dyDescent="0.25">
      <c r="A24" s="25" t="s">
        <v>6</v>
      </c>
      <c r="B24" s="25"/>
      <c r="C24" s="25" t="s">
        <v>426</v>
      </c>
      <c r="D24" s="25"/>
      <c r="E24" s="25"/>
      <c r="F24" s="25" t="s">
        <v>427</v>
      </c>
      <c r="G24" s="25" t="s">
        <v>428</v>
      </c>
      <c r="H24" s="25">
        <v>1998</v>
      </c>
    </row>
    <row r="25" spans="1:8" ht="37.5" x14ac:dyDescent="0.25">
      <c r="A25" s="25" t="s">
        <v>6</v>
      </c>
      <c r="B25" s="25"/>
      <c r="C25" s="25" t="s">
        <v>429</v>
      </c>
      <c r="D25" s="25"/>
      <c r="E25" s="25"/>
      <c r="F25" s="25" t="s">
        <v>430</v>
      </c>
      <c r="G25" s="25" t="s">
        <v>431</v>
      </c>
      <c r="H25" s="25">
        <v>1995</v>
      </c>
    </row>
    <row r="26" spans="1:8" ht="25" x14ac:dyDescent="0.25">
      <c r="A26" s="25" t="s">
        <v>8</v>
      </c>
      <c r="B26" s="25"/>
      <c r="C26" s="25" t="s">
        <v>432</v>
      </c>
      <c r="D26" s="25"/>
      <c r="E26" s="25"/>
      <c r="F26" s="25" t="s">
        <v>433</v>
      </c>
      <c r="G26" s="25" t="s">
        <v>434</v>
      </c>
      <c r="H26" s="25">
        <v>2013</v>
      </c>
    </row>
    <row r="27" spans="1:8" x14ac:dyDescent="0.25">
      <c r="A27" s="25" t="s">
        <v>8</v>
      </c>
      <c r="B27" s="25"/>
      <c r="C27" s="25" t="s">
        <v>435</v>
      </c>
      <c r="D27" s="25"/>
      <c r="E27" s="25"/>
      <c r="F27" s="25" t="s">
        <v>436</v>
      </c>
      <c r="G27" s="25"/>
      <c r="H27" s="25">
        <v>2014</v>
      </c>
    </row>
    <row r="28" spans="1:8" ht="37.5" x14ac:dyDescent="0.25">
      <c r="A28" s="25" t="s">
        <v>8</v>
      </c>
      <c r="B28" s="25"/>
      <c r="C28" s="25" t="s">
        <v>437</v>
      </c>
      <c r="D28" s="25"/>
      <c r="E28" s="25"/>
      <c r="F28" s="25" t="s">
        <v>438</v>
      </c>
      <c r="G28" s="25" t="s">
        <v>439</v>
      </c>
      <c r="H28" s="25">
        <v>2007</v>
      </c>
    </row>
    <row r="29" spans="1:8" ht="37.5" x14ac:dyDescent="0.25">
      <c r="A29" s="25" t="s">
        <v>8</v>
      </c>
      <c r="B29" s="25"/>
      <c r="C29" s="25" t="s">
        <v>440</v>
      </c>
      <c r="D29" s="25"/>
      <c r="E29" s="25"/>
      <c r="F29" s="25" t="s">
        <v>441</v>
      </c>
      <c r="G29" s="25" t="s">
        <v>410</v>
      </c>
      <c r="H29" s="25">
        <v>2012</v>
      </c>
    </row>
    <row r="30" spans="1:8" ht="25" x14ac:dyDescent="0.25">
      <c r="A30" s="25" t="s">
        <v>41</v>
      </c>
      <c r="B30" s="25"/>
      <c r="C30" s="25" t="s">
        <v>442</v>
      </c>
      <c r="D30" s="25"/>
      <c r="E30" s="25"/>
      <c r="F30" s="25" t="s">
        <v>443</v>
      </c>
      <c r="G30" s="25" t="s">
        <v>444</v>
      </c>
      <c r="H30" s="25">
        <v>2006</v>
      </c>
    </row>
    <row r="31" spans="1:8" ht="37.5" x14ac:dyDescent="0.25">
      <c r="A31" s="25" t="s">
        <v>41</v>
      </c>
      <c r="B31" s="25"/>
      <c r="C31" s="25" t="s">
        <v>445</v>
      </c>
      <c r="D31" s="25"/>
      <c r="E31" s="25"/>
      <c r="F31" s="25" t="s">
        <v>446</v>
      </c>
      <c r="G31" s="25" t="s">
        <v>419</v>
      </c>
      <c r="H31" s="25">
        <v>2008</v>
      </c>
    </row>
    <row r="32" spans="1:8" ht="25" x14ac:dyDescent="0.25">
      <c r="A32" s="25" t="s">
        <v>41</v>
      </c>
      <c r="B32" s="25"/>
      <c r="C32" s="25" t="s">
        <v>447</v>
      </c>
      <c r="D32" s="25"/>
      <c r="E32" s="25"/>
      <c r="F32" s="25" t="s">
        <v>448</v>
      </c>
      <c r="G32" s="25"/>
      <c r="H32" s="25">
        <v>2014</v>
      </c>
    </row>
    <row r="33" spans="1:8" ht="25" x14ac:dyDescent="0.25">
      <c r="A33" s="25" t="s">
        <v>41</v>
      </c>
      <c r="B33" s="25"/>
      <c r="C33" s="25" t="s">
        <v>449</v>
      </c>
      <c r="D33" s="25"/>
      <c r="E33" s="25"/>
      <c r="F33" s="25" t="s">
        <v>450</v>
      </c>
      <c r="G33" s="25" t="s">
        <v>451</v>
      </c>
      <c r="H33" s="25">
        <v>2009</v>
      </c>
    </row>
    <row r="34" spans="1:8" ht="25" x14ac:dyDescent="0.25">
      <c r="A34" s="25" t="s">
        <v>41</v>
      </c>
      <c r="B34" s="25"/>
      <c r="C34" s="25" t="s">
        <v>452</v>
      </c>
      <c r="D34" s="25"/>
      <c r="E34" s="25"/>
      <c r="F34" s="25" t="s">
        <v>453</v>
      </c>
      <c r="G34" s="25" t="s">
        <v>454</v>
      </c>
      <c r="H34" s="25">
        <v>2004</v>
      </c>
    </row>
    <row r="35" spans="1:8" ht="25" x14ac:dyDescent="0.25">
      <c r="A35" s="25" t="s">
        <v>41</v>
      </c>
      <c r="B35" s="25"/>
      <c r="C35" s="25" t="s">
        <v>455</v>
      </c>
      <c r="D35" s="25"/>
      <c r="E35" s="25"/>
      <c r="F35" s="25" t="s">
        <v>456</v>
      </c>
      <c r="G35" s="25" t="s">
        <v>457</v>
      </c>
      <c r="H35" s="25">
        <v>1999</v>
      </c>
    </row>
    <row r="36" spans="1:8" ht="25" x14ac:dyDescent="0.25">
      <c r="A36" s="25" t="s">
        <v>9</v>
      </c>
      <c r="B36" s="25"/>
      <c r="C36" s="25" t="s">
        <v>458</v>
      </c>
      <c r="D36" s="25"/>
      <c r="E36" s="25"/>
      <c r="F36" s="25" t="s">
        <v>459</v>
      </c>
      <c r="G36" s="25" t="s">
        <v>460</v>
      </c>
      <c r="H36" s="25">
        <v>2003</v>
      </c>
    </row>
    <row r="37" spans="1:8" ht="37.5" x14ac:dyDescent="0.25">
      <c r="A37" s="25" t="s">
        <v>11</v>
      </c>
      <c r="B37" s="25"/>
      <c r="C37" s="25" t="s">
        <v>461</v>
      </c>
      <c r="D37" s="25"/>
      <c r="E37" s="25"/>
      <c r="F37" s="25" t="s">
        <v>462</v>
      </c>
      <c r="G37" s="25" t="s">
        <v>439</v>
      </c>
      <c r="H37" s="25">
        <v>2010</v>
      </c>
    </row>
    <row r="38" spans="1:8" x14ac:dyDescent="0.25">
      <c r="A38" s="25" t="s">
        <v>11</v>
      </c>
      <c r="B38" s="25"/>
      <c r="C38" s="25" t="s">
        <v>463</v>
      </c>
      <c r="D38" s="25"/>
      <c r="E38" s="25"/>
      <c r="F38" s="25" t="s">
        <v>464</v>
      </c>
      <c r="G38" s="25" t="s">
        <v>465</v>
      </c>
      <c r="H38" s="25">
        <v>2014</v>
      </c>
    </row>
    <row r="39" spans="1:8" ht="37.5" x14ac:dyDescent="0.25">
      <c r="A39" s="25" t="s">
        <v>15</v>
      </c>
      <c r="B39" s="25"/>
      <c r="C39" s="25" t="s">
        <v>466</v>
      </c>
      <c r="D39" s="25"/>
      <c r="E39" s="25"/>
      <c r="F39" s="25" t="s">
        <v>467</v>
      </c>
      <c r="G39" s="25" t="s">
        <v>468</v>
      </c>
      <c r="H39" s="25">
        <v>2006</v>
      </c>
    </row>
    <row r="40" spans="1:8" ht="25" x14ac:dyDescent="0.25">
      <c r="A40" s="25" t="s">
        <v>16</v>
      </c>
      <c r="B40" s="25"/>
      <c r="C40" s="25" t="s">
        <v>469</v>
      </c>
      <c r="D40" s="25"/>
      <c r="E40" s="25"/>
      <c r="F40" s="25" t="s">
        <v>470</v>
      </c>
      <c r="G40" s="25" t="s">
        <v>471</v>
      </c>
      <c r="H40" s="25">
        <v>2011</v>
      </c>
    </row>
    <row r="41" spans="1:8" ht="25" x14ac:dyDescent="0.25">
      <c r="A41" s="25" t="s">
        <v>16</v>
      </c>
      <c r="B41" s="25"/>
      <c r="C41" s="25" t="s">
        <v>472</v>
      </c>
      <c r="D41" s="25"/>
      <c r="E41" s="25"/>
      <c r="F41" s="25" t="s">
        <v>473</v>
      </c>
      <c r="G41" s="25"/>
      <c r="H41" s="25">
        <v>2014</v>
      </c>
    </row>
    <row r="42" spans="1:8" ht="25" x14ac:dyDescent="0.25">
      <c r="A42" s="25" t="s">
        <v>16</v>
      </c>
      <c r="B42" s="25"/>
      <c r="C42" s="25" t="s">
        <v>474</v>
      </c>
      <c r="D42" s="25"/>
      <c r="E42" s="25"/>
      <c r="F42" s="25" t="s">
        <v>475</v>
      </c>
      <c r="G42" s="25"/>
      <c r="H42" s="25">
        <v>2014</v>
      </c>
    </row>
    <row r="43" spans="1:8" ht="25" x14ac:dyDescent="0.25">
      <c r="A43" s="25" t="s">
        <v>17</v>
      </c>
      <c r="B43" s="25"/>
      <c r="C43" s="25" t="s">
        <v>476</v>
      </c>
      <c r="D43" s="25"/>
      <c r="E43" s="25"/>
      <c r="F43" s="25" t="s">
        <v>477</v>
      </c>
      <c r="G43" s="25" t="s">
        <v>478</v>
      </c>
      <c r="H43" s="25">
        <v>2006</v>
      </c>
    </row>
    <row r="44" spans="1:8" ht="25" x14ac:dyDescent="0.25">
      <c r="A44" s="25" t="s">
        <v>18</v>
      </c>
      <c r="B44" s="25"/>
      <c r="C44" s="25" t="s">
        <v>479</v>
      </c>
      <c r="D44" s="25"/>
      <c r="E44" s="25"/>
      <c r="F44" s="25" t="s">
        <v>480</v>
      </c>
      <c r="G44" s="25" t="s">
        <v>434</v>
      </c>
      <c r="H44" s="25">
        <v>2008</v>
      </c>
    </row>
    <row r="45" spans="1:8" x14ac:dyDescent="0.25">
      <c r="A45" s="25" t="s">
        <v>29</v>
      </c>
      <c r="B45" s="25"/>
      <c r="C45" s="25" t="s">
        <v>481</v>
      </c>
      <c r="D45" s="25" t="s">
        <v>482</v>
      </c>
      <c r="E45" s="25"/>
      <c r="F45" s="25" t="s">
        <v>483</v>
      </c>
      <c r="G45" s="25" t="s">
        <v>484</v>
      </c>
      <c r="H45" s="25">
        <v>1978</v>
      </c>
    </row>
    <row r="46" spans="1:8" ht="25" x14ac:dyDescent="0.25">
      <c r="A46" s="25" t="s">
        <v>29</v>
      </c>
      <c r="B46" s="25"/>
      <c r="C46" s="25" t="s">
        <v>485</v>
      </c>
      <c r="D46" s="25" t="s">
        <v>486</v>
      </c>
      <c r="E46" s="25"/>
      <c r="F46" s="25" t="s">
        <v>487</v>
      </c>
      <c r="G46" s="25" t="s">
        <v>488</v>
      </c>
      <c r="H46" s="25">
        <v>2014</v>
      </c>
    </row>
    <row r="47" spans="1:8" ht="25" x14ac:dyDescent="0.25">
      <c r="A47" s="25" t="s">
        <v>29</v>
      </c>
      <c r="B47" s="25"/>
      <c r="C47" s="25" t="s">
        <v>489</v>
      </c>
      <c r="D47" s="25" t="s">
        <v>490</v>
      </c>
      <c r="E47" s="25"/>
      <c r="F47" s="25" t="s">
        <v>491</v>
      </c>
      <c r="G47" s="25"/>
      <c r="H47" s="25">
        <v>2014</v>
      </c>
    </row>
    <row r="48" spans="1:8" ht="25" x14ac:dyDescent="0.25">
      <c r="A48" s="25" t="s">
        <v>29</v>
      </c>
      <c r="B48" s="25"/>
      <c r="C48" s="25" t="s">
        <v>492</v>
      </c>
      <c r="D48" s="25" t="s">
        <v>493</v>
      </c>
      <c r="E48" s="25"/>
      <c r="F48" s="25" t="s">
        <v>494</v>
      </c>
      <c r="G48" s="25" t="s">
        <v>495</v>
      </c>
      <c r="H48" s="25">
        <v>2010</v>
      </c>
    </row>
    <row r="49" spans="1:8" ht="25" x14ac:dyDescent="0.25">
      <c r="A49" s="25" t="s">
        <v>29</v>
      </c>
      <c r="B49" s="25"/>
      <c r="C49" s="25" t="s">
        <v>496</v>
      </c>
      <c r="D49" s="25" t="s">
        <v>497</v>
      </c>
      <c r="E49" s="25"/>
      <c r="F49" s="25" t="s">
        <v>498</v>
      </c>
      <c r="G49" s="25" t="s">
        <v>499</v>
      </c>
      <c r="H49" s="25">
        <v>2008</v>
      </c>
    </row>
    <row r="50" spans="1:8" x14ac:dyDescent="0.25">
      <c r="A50" s="25" t="s">
        <v>29</v>
      </c>
      <c r="B50" s="25"/>
      <c r="C50" s="25" t="s">
        <v>500</v>
      </c>
      <c r="D50" s="25" t="s">
        <v>501</v>
      </c>
      <c r="E50" s="25"/>
      <c r="F50" s="25" t="s">
        <v>502</v>
      </c>
      <c r="G50" s="25" t="s">
        <v>503</v>
      </c>
      <c r="H50" s="25">
        <v>2012</v>
      </c>
    </row>
    <row r="51" spans="1:8" x14ac:dyDescent="0.25">
      <c r="A51" s="25" t="s">
        <v>29</v>
      </c>
      <c r="B51" s="25"/>
      <c r="C51" s="25" t="s">
        <v>504</v>
      </c>
      <c r="D51" s="25" t="s">
        <v>505</v>
      </c>
      <c r="E51" s="25"/>
      <c r="F51" s="25" t="s">
        <v>506</v>
      </c>
      <c r="G51" s="25" t="s">
        <v>507</v>
      </c>
      <c r="H51" s="25">
        <v>2008</v>
      </c>
    </row>
    <row r="52" spans="1:8" ht="25" x14ac:dyDescent="0.25">
      <c r="A52" s="25" t="s">
        <v>30</v>
      </c>
      <c r="B52" s="25"/>
      <c r="C52" s="25" t="s">
        <v>508</v>
      </c>
      <c r="D52" s="25" t="s">
        <v>509</v>
      </c>
      <c r="E52" s="25"/>
      <c r="F52" s="25" t="s">
        <v>510</v>
      </c>
      <c r="G52" s="25" t="s">
        <v>511</v>
      </c>
      <c r="H52" s="25">
        <v>1991</v>
      </c>
    </row>
    <row r="53" spans="1:8" ht="25" x14ac:dyDescent="0.25">
      <c r="A53" s="25" t="s">
        <v>30</v>
      </c>
      <c r="B53" s="25"/>
      <c r="C53" s="25" t="s">
        <v>512</v>
      </c>
      <c r="D53" s="25" t="s">
        <v>513</v>
      </c>
      <c r="E53" s="25"/>
      <c r="F53" s="25" t="s">
        <v>514</v>
      </c>
      <c r="G53" s="25" t="s">
        <v>515</v>
      </c>
      <c r="H53" s="25">
        <v>2003</v>
      </c>
    </row>
    <row r="54" spans="1:8" x14ac:dyDescent="0.25">
      <c r="A54" s="25" t="s">
        <v>28</v>
      </c>
      <c r="B54" s="25"/>
      <c r="C54" s="25" t="s">
        <v>516</v>
      </c>
      <c r="D54" s="25" t="s">
        <v>517</v>
      </c>
      <c r="E54" s="25"/>
      <c r="F54" s="25" t="s">
        <v>518</v>
      </c>
      <c r="G54" s="25" t="s">
        <v>519</v>
      </c>
      <c r="H54" s="25">
        <v>1987</v>
      </c>
    </row>
    <row r="55" spans="1:8" ht="37.5" x14ac:dyDescent="0.25">
      <c r="A55" s="25" t="s">
        <v>28</v>
      </c>
      <c r="B55" s="25"/>
      <c r="C55" s="25" t="s">
        <v>520</v>
      </c>
      <c r="D55" s="25" t="s">
        <v>521</v>
      </c>
      <c r="E55" s="25"/>
      <c r="F55" s="25" t="s">
        <v>522</v>
      </c>
      <c r="G55" s="25" t="s">
        <v>523</v>
      </c>
      <c r="H55" s="25">
        <v>2008</v>
      </c>
    </row>
    <row r="56" spans="1:8" ht="37.5" x14ac:dyDescent="0.25">
      <c r="A56" s="25" t="s">
        <v>28</v>
      </c>
      <c r="B56" s="25"/>
      <c r="C56" s="25" t="s">
        <v>524</v>
      </c>
      <c r="D56" s="25" t="s">
        <v>525</v>
      </c>
      <c r="E56" s="25"/>
      <c r="F56" s="25" t="s">
        <v>526</v>
      </c>
      <c r="G56" s="25" t="s">
        <v>527</v>
      </c>
      <c r="H56" s="25">
        <v>2002</v>
      </c>
    </row>
    <row r="57" spans="1:8" x14ac:dyDescent="0.25">
      <c r="A57" s="25" t="s">
        <v>42</v>
      </c>
      <c r="B57" s="25"/>
      <c r="C57" s="25" t="s">
        <v>528</v>
      </c>
      <c r="D57" s="25"/>
      <c r="E57" s="25"/>
      <c r="F57" s="25" t="s">
        <v>529</v>
      </c>
      <c r="G57" s="25" t="s">
        <v>530</v>
      </c>
      <c r="H57" s="25">
        <v>1973</v>
      </c>
    </row>
    <row r="58" spans="1:8" ht="25" x14ac:dyDescent="0.25">
      <c r="A58" s="25" t="s">
        <v>42</v>
      </c>
      <c r="B58" s="25"/>
      <c r="C58" s="25" t="s">
        <v>531</v>
      </c>
      <c r="D58" s="25" t="s">
        <v>532</v>
      </c>
      <c r="E58" s="25"/>
      <c r="F58" s="25" t="s">
        <v>533</v>
      </c>
      <c r="G58" s="25" t="s">
        <v>534</v>
      </c>
      <c r="H58" s="25">
        <v>2011</v>
      </c>
    </row>
    <row r="59" spans="1:8" ht="25" x14ac:dyDescent="0.25">
      <c r="A59" s="25" t="s">
        <v>42</v>
      </c>
      <c r="B59" s="25"/>
      <c r="C59" s="25" t="s">
        <v>535</v>
      </c>
      <c r="D59" s="25" t="s">
        <v>536</v>
      </c>
      <c r="E59" s="25"/>
      <c r="F59" s="25" t="s">
        <v>537</v>
      </c>
      <c r="G59" s="25" t="s">
        <v>538</v>
      </c>
      <c r="H59" s="25">
        <v>2004</v>
      </c>
    </row>
    <row r="60" spans="1:8" ht="25" x14ac:dyDescent="0.25">
      <c r="A60" s="25" t="s">
        <v>24</v>
      </c>
      <c r="B60" s="25" t="s">
        <v>539</v>
      </c>
      <c r="C60" s="25" t="s">
        <v>540</v>
      </c>
      <c r="D60" s="25" t="s">
        <v>541</v>
      </c>
      <c r="E60" s="25"/>
      <c r="F60" s="25" t="s">
        <v>542</v>
      </c>
      <c r="G60" s="25" t="s">
        <v>543</v>
      </c>
      <c r="H60" s="25">
        <v>2003</v>
      </c>
    </row>
    <row r="61" spans="1:8" ht="25" x14ac:dyDescent="0.25">
      <c r="A61" s="25" t="s">
        <v>24</v>
      </c>
      <c r="B61" s="25"/>
      <c r="C61" s="25" t="s">
        <v>544</v>
      </c>
      <c r="D61" s="25" t="s">
        <v>545</v>
      </c>
      <c r="E61" s="25"/>
      <c r="F61" s="25" t="s">
        <v>546</v>
      </c>
      <c r="G61" s="25" t="s">
        <v>547</v>
      </c>
      <c r="H61" s="25">
        <v>2011</v>
      </c>
    </row>
    <row r="62" spans="1:8" ht="25" x14ac:dyDescent="0.25">
      <c r="A62" s="25" t="s">
        <v>24</v>
      </c>
      <c r="B62" s="25"/>
      <c r="C62" s="25" t="s">
        <v>548</v>
      </c>
      <c r="D62" s="25" t="s">
        <v>549</v>
      </c>
      <c r="E62" s="25"/>
      <c r="F62" s="25" t="s">
        <v>550</v>
      </c>
      <c r="G62" s="25" t="s">
        <v>551</v>
      </c>
      <c r="H62" s="25">
        <v>2014</v>
      </c>
    </row>
    <row r="63" spans="1:8" ht="25" x14ac:dyDescent="0.25">
      <c r="A63" s="25" t="s">
        <v>24</v>
      </c>
      <c r="B63" s="25"/>
      <c r="C63" s="25" t="s">
        <v>552</v>
      </c>
      <c r="D63" s="25" t="s">
        <v>553</v>
      </c>
      <c r="E63" s="25" t="s">
        <v>554</v>
      </c>
      <c r="F63" s="25" t="s">
        <v>555</v>
      </c>
      <c r="G63" s="25"/>
      <c r="H63" s="25">
        <v>2015</v>
      </c>
    </row>
    <row r="64" spans="1:8" x14ac:dyDescent="0.25">
      <c r="A64" s="25" t="s">
        <v>24</v>
      </c>
      <c r="B64" s="25"/>
      <c r="C64" s="25" t="s">
        <v>556</v>
      </c>
      <c r="D64" s="25" t="s">
        <v>557</v>
      </c>
      <c r="E64" s="25"/>
      <c r="F64" s="25" t="s">
        <v>558</v>
      </c>
      <c r="G64" s="25"/>
      <c r="H64" s="25">
        <v>2014</v>
      </c>
    </row>
    <row r="65" spans="1:8" x14ac:dyDescent="0.25">
      <c r="A65" s="25" t="s">
        <v>24</v>
      </c>
      <c r="B65" s="25"/>
      <c r="C65" s="25" t="s">
        <v>556</v>
      </c>
      <c r="D65" s="25" t="s">
        <v>557</v>
      </c>
      <c r="E65" s="25"/>
      <c r="F65" s="25" t="s">
        <v>559</v>
      </c>
      <c r="G65" s="25"/>
      <c r="H65" s="25">
        <v>2014</v>
      </c>
    </row>
    <row r="66" spans="1:8" ht="25" x14ac:dyDescent="0.25">
      <c r="A66" s="25" t="s">
        <v>24</v>
      </c>
      <c r="B66" s="25"/>
      <c r="C66" s="25" t="s">
        <v>560</v>
      </c>
      <c r="D66" s="25" t="s">
        <v>561</v>
      </c>
      <c r="E66" s="25"/>
      <c r="F66" s="25" t="s">
        <v>562</v>
      </c>
      <c r="G66" s="25"/>
      <c r="H66" s="25">
        <v>2014</v>
      </c>
    </row>
    <row r="67" spans="1:8" ht="25" x14ac:dyDescent="0.25">
      <c r="A67" s="25" t="s">
        <v>24</v>
      </c>
      <c r="B67" s="25"/>
      <c r="C67" s="25" t="s">
        <v>563</v>
      </c>
      <c r="D67" s="25" t="s">
        <v>564</v>
      </c>
      <c r="E67" s="25" t="s">
        <v>554</v>
      </c>
      <c r="F67" s="25" t="s">
        <v>565</v>
      </c>
      <c r="G67" s="25"/>
      <c r="H67" s="25">
        <v>2015</v>
      </c>
    </row>
    <row r="68" spans="1:8" x14ac:dyDescent="0.25">
      <c r="A68" s="25" t="s">
        <v>24</v>
      </c>
      <c r="B68" s="25"/>
      <c r="C68" s="25" t="s">
        <v>566</v>
      </c>
      <c r="D68" s="25" t="s">
        <v>567</v>
      </c>
      <c r="E68" s="25"/>
      <c r="F68" s="25" t="s">
        <v>568</v>
      </c>
      <c r="G68" s="25" t="s">
        <v>569</v>
      </c>
      <c r="H68" s="25">
        <v>2012</v>
      </c>
    </row>
    <row r="69" spans="1:8" ht="25" x14ac:dyDescent="0.25">
      <c r="A69" s="25" t="s">
        <v>2</v>
      </c>
      <c r="B69" s="25"/>
      <c r="C69" s="25" t="s">
        <v>570</v>
      </c>
      <c r="D69" s="25" t="s">
        <v>571</v>
      </c>
      <c r="E69" s="25"/>
      <c r="F69" s="25" t="s">
        <v>572</v>
      </c>
      <c r="G69" s="25"/>
      <c r="H69" s="25">
        <v>2013</v>
      </c>
    </row>
    <row r="70" spans="1:8" x14ac:dyDescent="0.25">
      <c r="A70" s="25" t="s">
        <v>1</v>
      </c>
      <c r="B70" s="25"/>
      <c r="C70" s="25" t="s">
        <v>573</v>
      </c>
      <c r="D70" s="25" t="s">
        <v>574</v>
      </c>
      <c r="E70" s="25"/>
      <c r="F70" s="25" t="s">
        <v>575</v>
      </c>
      <c r="G70" s="25"/>
      <c r="H70" s="25">
        <v>2013</v>
      </c>
    </row>
    <row r="71" spans="1:8" ht="25" x14ac:dyDescent="0.25">
      <c r="A71" s="25" t="s">
        <v>38</v>
      </c>
      <c r="B71" s="25"/>
      <c r="C71" s="25" t="s">
        <v>576</v>
      </c>
      <c r="D71" s="25" t="s">
        <v>577</v>
      </c>
      <c r="E71" s="25"/>
      <c r="F71" s="25" t="s">
        <v>578</v>
      </c>
      <c r="G71" s="25" t="s">
        <v>579</v>
      </c>
      <c r="H71" s="25">
        <v>2006</v>
      </c>
    </row>
    <row r="72" spans="1:8" ht="25" x14ac:dyDescent="0.25">
      <c r="A72" s="25" t="s">
        <v>38</v>
      </c>
      <c r="B72" s="25"/>
      <c r="C72" s="25" t="s">
        <v>580</v>
      </c>
      <c r="D72" s="25" t="s">
        <v>581</v>
      </c>
      <c r="E72" s="25"/>
      <c r="F72" s="25" t="s">
        <v>582</v>
      </c>
      <c r="G72" s="25" t="s">
        <v>583</v>
      </c>
      <c r="H72" s="25">
        <v>2014</v>
      </c>
    </row>
    <row r="73" spans="1:8" ht="25" x14ac:dyDescent="0.25">
      <c r="A73" s="25" t="s">
        <v>38</v>
      </c>
      <c r="B73" s="25"/>
      <c r="C73" s="25" t="s">
        <v>584</v>
      </c>
      <c r="D73" s="25" t="s">
        <v>577</v>
      </c>
      <c r="E73" s="25"/>
      <c r="F73" s="25" t="s">
        <v>585</v>
      </c>
      <c r="G73" s="25" t="s">
        <v>579</v>
      </c>
      <c r="H73" s="25">
        <v>1996</v>
      </c>
    </row>
    <row r="74" spans="1:8" x14ac:dyDescent="0.25">
      <c r="A74" s="25" t="s">
        <v>25</v>
      </c>
      <c r="B74" s="25"/>
      <c r="C74" s="25" t="s">
        <v>586</v>
      </c>
      <c r="D74" s="25" t="s">
        <v>587</v>
      </c>
      <c r="E74" s="25"/>
      <c r="F74" s="25" t="s">
        <v>588</v>
      </c>
      <c r="G74" s="25" t="s">
        <v>589</v>
      </c>
      <c r="H74" s="25">
        <v>2011</v>
      </c>
    </row>
    <row r="75" spans="1:8" x14ac:dyDescent="0.25">
      <c r="A75" s="25" t="s">
        <v>25</v>
      </c>
      <c r="B75" s="25"/>
      <c r="C75" s="25" t="s">
        <v>590</v>
      </c>
      <c r="D75" s="25" t="s">
        <v>591</v>
      </c>
      <c r="E75" s="25"/>
      <c r="F75" s="25" t="s">
        <v>592</v>
      </c>
      <c r="G75" s="25" t="s">
        <v>593</v>
      </c>
      <c r="H75" s="25">
        <v>2011</v>
      </c>
    </row>
    <row r="76" spans="1:8" x14ac:dyDescent="0.25">
      <c r="A76" s="25" t="s">
        <v>25</v>
      </c>
      <c r="B76" s="25"/>
      <c r="C76" s="25" t="s">
        <v>594</v>
      </c>
      <c r="D76" s="25" t="s">
        <v>595</v>
      </c>
      <c r="E76" s="25"/>
      <c r="F76" s="25" t="s">
        <v>596</v>
      </c>
      <c r="G76" s="25" t="s">
        <v>597</v>
      </c>
      <c r="H76" s="25">
        <v>2012</v>
      </c>
    </row>
    <row r="77" spans="1:8" x14ac:dyDescent="0.25">
      <c r="A77" s="25" t="s">
        <v>25</v>
      </c>
      <c r="B77" s="25"/>
      <c r="C77" s="25" t="s">
        <v>598</v>
      </c>
      <c r="D77" s="25" t="s">
        <v>599</v>
      </c>
      <c r="E77" s="25"/>
      <c r="F77" s="25" t="s">
        <v>600</v>
      </c>
      <c r="G77" s="25" t="s">
        <v>601</v>
      </c>
      <c r="H77" s="25">
        <v>2003</v>
      </c>
    </row>
    <row r="78" spans="1:8" ht="25" x14ac:dyDescent="0.25">
      <c r="A78" s="25" t="s">
        <v>25</v>
      </c>
      <c r="B78" s="25"/>
      <c r="C78" s="25" t="s">
        <v>602</v>
      </c>
      <c r="D78" s="25" t="s">
        <v>603</v>
      </c>
      <c r="E78" s="25"/>
      <c r="F78" s="25" t="s">
        <v>604</v>
      </c>
      <c r="G78" s="25"/>
      <c r="H78" s="25">
        <v>2014</v>
      </c>
    </row>
    <row r="79" spans="1:8" x14ac:dyDescent="0.25">
      <c r="A79" s="25" t="s">
        <v>25</v>
      </c>
      <c r="B79" s="25"/>
      <c r="C79" s="25" t="s">
        <v>605</v>
      </c>
      <c r="D79" s="25" t="s">
        <v>606</v>
      </c>
      <c r="E79" s="25"/>
      <c r="F79" s="25" t="s">
        <v>607</v>
      </c>
      <c r="G79" s="25" t="s">
        <v>608</v>
      </c>
      <c r="H79" s="25">
        <v>2010</v>
      </c>
    </row>
    <row r="80" spans="1:8" x14ac:dyDescent="0.25">
      <c r="A80" s="25" t="s">
        <v>25</v>
      </c>
      <c r="B80" s="25"/>
      <c r="C80" s="25" t="s">
        <v>609</v>
      </c>
      <c r="D80" s="25" t="s">
        <v>610</v>
      </c>
      <c r="E80" s="25"/>
      <c r="F80" s="25" t="s">
        <v>611</v>
      </c>
      <c r="G80" s="25" t="s">
        <v>612</v>
      </c>
      <c r="H80" s="25">
        <v>1998</v>
      </c>
    </row>
    <row r="81" spans="1:8" x14ac:dyDescent="0.25">
      <c r="A81" s="25" t="s">
        <v>25</v>
      </c>
      <c r="B81" s="25"/>
      <c r="C81" s="25" t="s">
        <v>609</v>
      </c>
      <c r="D81" s="25" t="s">
        <v>610</v>
      </c>
      <c r="E81" s="25"/>
      <c r="F81" s="25" t="s">
        <v>613</v>
      </c>
      <c r="G81" s="25" t="s">
        <v>612</v>
      </c>
      <c r="H81" s="25">
        <v>2003</v>
      </c>
    </row>
    <row r="82" spans="1:8" x14ac:dyDescent="0.25">
      <c r="A82" s="25" t="s">
        <v>25</v>
      </c>
      <c r="B82" s="25"/>
      <c r="C82" s="25" t="s">
        <v>609</v>
      </c>
      <c r="D82" s="25" t="s">
        <v>610</v>
      </c>
      <c r="E82" s="25"/>
      <c r="F82" s="25" t="s">
        <v>614</v>
      </c>
      <c r="G82" s="25" t="s">
        <v>612</v>
      </c>
      <c r="H82" s="25">
        <v>1998</v>
      </c>
    </row>
    <row r="83" spans="1:8" ht="37.5" x14ac:dyDescent="0.25">
      <c r="A83" s="25" t="s">
        <v>25</v>
      </c>
      <c r="B83" s="25"/>
      <c r="C83" s="25" t="s">
        <v>615</v>
      </c>
      <c r="D83" s="25" t="s">
        <v>610</v>
      </c>
      <c r="E83" s="25"/>
      <c r="F83" s="25" t="s">
        <v>616</v>
      </c>
      <c r="G83" s="25" t="s">
        <v>617</v>
      </c>
      <c r="H83" s="25">
        <v>2010</v>
      </c>
    </row>
    <row r="84" spans="1:8" ht="25" x14ac:dyDescent="0.25">
      <c r="A84" s="25" t="s">
        <v>25</v>
      </c>
      <c r="B84" s="25"/>
      <c r="C84" s="25" t="s">
        <v>615</v>
      </c>
      <c r="D84" s="25" t="s">
        <v>610</v>
      </c>
      <c r="E84" s="25"/>
      <c r="F84" s="25" t="s">
        <v>618</v>
      </c>
      <c r="G84" s="25" t="s">
        <v>612</v>
      </c>
      <c r="H84" s="25">
        <v>2007</v>
      </c>
    </row>
    <row r="85" spans="1:8" ht="25" x14ac:dyDescent="0.25">
      <c r="A85" s="25" t="s">
        <v>25</v>
      </c>
      <c r="B85" s="25"/>
      <c r="C85" s="25" t="s">
        <v>615</v>
      </c>
      <c r="D85" s="25" t="s">
        <v>610</v>
      </c>
      <c r="E85" s="25"/>
      <c r="F85" s="25" t="s">
        <v>619</v>
      </c>
      <c r="G85" s="25" t="s">
        <v>612</v>
      </c>
      <c r="H85" s="25">
        <v>2008</v>
      </c>
    </row>
    <row r="86" spans="1:8" ht="25" x14ac:dyDescent="0.25">
      <c r="A86" s="25" t="s">
        <v>25</v>
      </c>
      <c r="B86" s="25"/>
      <c r="C86" s="25" t="s">
        <v>620</v>
      </c>
      <c r="D86" s="25" t="s">
        <v>621</v>
      </c>
      <c r="E86" s="25"/>
      <c r="F86" s="25" t="s">
        <v>622</v>
      </c>
      <c r="G86" s="25" t="s">
        <v>623</v>
      </c>
      <c r="H86" s="25">
        <v>1997</v>
      </c>
    </row>
    <row r="87" spans="1:8" ht="25" x14ac:dyDescent="0.25">
      <c r="A87" s="25" t="s">
        <v>25</v>
      </c>
      <c r="B87" s="25"/>
      <c r="C87" s="25" t="s">
        <v>624</v>
      </c>
      <c r="D87" s="25" t="s">
        <v>625</v>
      </c>
      <c r="E87" s="25"/>
      <c r="F87" s="25" t="s">
        <v>626</v>
      </c>
      <c r="G87" s="25" t="s">
        <v>627</v>
      </c>
      <c r="H87" s="25">
        <v>2005</v>
      </c>
    </row>
    <row r="88" spans="1:8" ht="25" x14ac:dyDescent="0.25">
      <c r="A88" s="25" t="s">
        <v>25</v>
      </c>
      <c r="B88" s="25"/>
      <c r="C88" s="25" t="s">
        <v>628</v>
      </c>
      <c r="D88" s="25" t="s">
        <v>629</v>
      </c>
      <c r="E88" s="25"/>
      <c r="F88" s="25" t="s">
        <v>630</v>
      </c>
      <c r="G88" s="25" t="s">
        <v>631</v>
      </c>
      <c r="H88" s="25">
        <v>2010</v>
      </c>
    </row>
    <row r="89" spans="1:8" x14ac:dyDescent="0.25">
      <c r="A89" s="25" t="s">
        <v>25</v>
      </c>
      <c r="B89" s="25"/>
      <c r="C89" s="25" t="s">
        <v>632</v>
      </c>
      <c r="D89" s="25" t="s">
        <v>633</v>
      </c>
      <c r="E89" s="25"/>
      <c r="F89" s="25" t="s">
        <v>634</v>
      </c>
      <c r="G89" s="25" t="s">
        <v>635</v>
      </c>
      <c r="H89" s="25">
        <v>2007</v>
      </c>
    </row>
    <row r="90" spans="1:8" x14ac:dyDescent="0.25">
      <c r="A90" s="25" t="s">
        <v>25</v>
      </c>
      <c r="B90" s="25"/>
      <c r="C90" s="25" t="s">
        <v>636</v>
      </c>
      <c r="D90" s="25" t="s">
        <v>637</v>
      </c>
      <c r="E90" s="25"/>
      <c r="F90" s="25" t="s">
        <v>638</v>
      </c>
      <c r="G90" s="25"/>
      <c r="H90" s="25">
        <v>2015</v>
      </c>
    </row>
    <row r="91" spans="1:8" ht="25" x14ac:dyDescent="0.25">
      <c r="A91" s="25" t="s">
        <v>25</v>
      </c>
      <c r="B91" s="25"/>
      <c r="C91" s="25" t="s">
        <v>639</v>
      </c>
      <c r="D91" s="25" t="s">
        <v>640</v>
      </c>
      <c r="E91" s="25"/>
      <c r="F91" s="25" t="s">
        <v>641</v>
      </c>
      <c r="G91" s="25" t="s">
        <v>642</v>
      </c>
      <c r="H91" s="25">
        <v>2012</v>
      </c>
    </row>
    <row r="92" spans="1:8" ht="25" x14ac:dyDescent="0.25">
      <c r="A92" s="25" t="s">
        <v>306</v>
      </c>
      <c r="B92" s="25"/>
      <c r="C92" s="25" t="s">
        <v>643</v>
      </c>
      <c r="D92" s="25"/>
      <c r="E92" s="25"/>
      <c r="F92" s="25" t="s">
        <v>644</v>
      </c>
      <c r="G92" s="25" t="s">
        <v>645</v>
      </c>
      <c r="H92" s="25">
        <v>2013</v>
      </c>
    </row>
    <row r="93" spans="1:8" ht="25" x14ac:dyDescent="0.25">
      <c r="A93" s="25" t="s">
        <v>306</v>
      </c>
      <c r="B93" s="25"/>
      <c r="C93" s="25" t="s">
        <v>646</v>
      </c>
      <c r="D93" s="25" t="s">
        <v>647</v>
      </c>
      <c r="E93" s="25"/>
      <c r="F93" s="25" t="s">
        <v>648</v>
      </c>
      <c r="G93" s="25"/>
      <c r="H93" s="25">
        <v>2014</v>
      </c>
    </row>
    <row r="94" spans="1:8" ht="25" x14ac:dyDescent="0.25">
      <c r="A94" s="25" t="s">
        <v>306</v>
      </c>
      <c r="B94" s="25"/>
      <c r="C94" s="25" t="s">
        <v>649</v>
      </c>
      <c r="D94" s="25"/>
      <c r="E94" s="25"/>
      <c r="F94" s="25" t="s">
        <v>650</v>
      </c>
      <c r="G94" s="25" t="s">
        <v>651</v>
      </c>
      <c r="H94" s="25">
        <v>2005</v>
      </c>
    </row>
    <row r="95" spans="1:8" ht="25" x14ac:dyDescent="0.25">
      <c r="A95" s="25" t="s">
        <v>47</v>
      </c>
      <c r="B95" s="25"/>
      <c r="C95" s="25" t="s">
        <v>652</v>
      </c>
      <c r="D95" s="25" t="s">
        <v>653</v>
      </c>
      <c r="E95" s="25"/>
      <c r="F95" s="25" t="s">
        <v>654</v>
      </c>
      <c r="G95" s="25" t="s">
        <v>655</v>
      </c>
      <c r="H95" s="25">
        <v>1998</v>
      </c>
    </row>
    <row r="96" spans="1:8" ht="25" x14ac:dyDescent="0.25">
      <c r="A96" s="25" t="s">
        <v>47</v>
      </c>
      <c r="B96" s="25"/>
      <c r="C96" s="25" t="s">
        <v>656</v>
      </c>
      <c r="D96" s="25" t="s">
        <v>657</v>
      </c>
      <c r="E96" s="25"/>
      <c r="F96" s="25" t="s">
        <v>658</v>
      </c>
      <c r="G96" s="25" t="s">
        <v>659</v>
      </c>
      <c r="H96" s="25">
        <v>2008</v>
      </c>
    </row>
    <row r="97" spans="1:8" ht="25" x14ac:dyDescent="0.25">
      <c r="A97" s="25" t="s">
        <v>47</v>
      </c>
      <c r="B97" s="25"/>
      <c r="C97" s="25" t="s">
        <v>660</v>
      </c>
      <c r="D97" s="25" t="s">
        <v>661</v>
      </c>
      <c r="E97" s="25"/>
      <c r="F97" s="25" t="s">
        <v>662</v>
      </c>
      <c r="G97" s="25" t="s">
        <v>663</v>
      </c>
      <c r="H97" s="25">
        <v>2006</v>
      </c>
    </row>
    <row r="98" spans="1:8" ht="25" x14ac:dyDescent="0.25">
      <c r="A98" s="25" t="s">
        <v>47</v>
      </c>
      <c r="B98" s="25"/>
      <c r="C98" s="25" t="s">
        <v>664</v>
      </c>
      <c r="D98" s="25"/>
      <c r="E98" s="25"/>
      <c r="F98" s="25" t="s">
        <v>665</v>
      </c>
      <c r="G98" s="25"/>
      <c r="H98" s="25">
        <v>2014</v>
      </c>
    </row>
    <row r="99" spans="1:8" ht="25" x14ac:dyDescent="0.25">
      <c r="A99" s="25" t="s">
        <v>47</v>
      </c>
      <c r="B99" s="25"/>
      <c r="C99" s="25" t="s">
        <v>666</v>
      </c>
      <c r="D99" s="25" t="s">
        <v>667</v>
      </c>
      <c r="E99" s="25"/>
      <c r="F99" s="25" t="s">
        <v>668</v>
      </c>
      <c r="G99" s="25" t="s">
        <v>669</v>
      </c>
      <c r="H99" s="25">
        <v>2008</v>
      </c>
    </row>
    <row r="100" spans="1:8" ht="25" x14ac:dyDescent="0.25">
      <c r="A100" s="25" t="s">
        <v>47</v>
      </c>
      <c r="B100" s="25"/>
      <c r="C100" s="25" t="s">
        <v>670</v>
      </c>
      <c r="D100" s="25"/>
      <c r="E100" s="25"/>
      <c r="F100" s="25" t="s">
        <v>671</v>
      </c>
      <c r="G100" s="25"/>
      <c r="H100" s="25">
        <v>2013</v>
      </c>
    </row>
    <row r="101" spans="1:8" ht="25" x14ac:dyDescent="0.25">
      <c r="A101" s="25" t="s">
        <v>47</v>
      </c>
      <c r="B101" s="25"/>
      <c r="C101" s="25" t="s">
        <v>672</v>
      </c>
      <c r="D101" s="25" t="s">
        <v>673</v>
      </c>
      <c r="E101" s="25"/>
      <c r="F101" s="25" t="s">
        <v>674</v>
      </c>
      <c r="G101" s="25" t="s">
        <v>675</v>
      </c>
      <c r="H101" s="25">
        <v>2010</v>
      </c>
    </row>
    <row r="102" spans="1:8" ht="25" x14ac:dyDescent="0.25">
      <c r="A102" s="25" t="s">
        <v>47</v>
      </c>
      <c r="B102" s="25"/>
      <c r="C102" s="25" t="s">
        <v>676</v>
      </c>
      <c r="D102" s="25" t="s">
        <v>677</v>
      </c>
      <c r="E102" s="25"/>
      <c r="F102" s="25" t="s">
        <v>678</v>
      </c>
      <c r="G102" s="25"/>
      <c r="H102" s="25">
        <v>2014</v>
      </c>
    </row>
    <row r="103" spans="1:8" ht="25" x14ac:dyDescent="0.25">
      <c r="A103" s="25" t="s">
        <v>23</v>
      </c>
      <c r="B103" s="25"/>
      <c r="C103" s="25" t="s">
        <v>679</v>
      </c>
      <c r="D103" s="25" t="s">
        <v>680</v>
      </c>
      <c r="E103" s="25"/>
      <c r="F103" s="25" t="s">
        <v>681</v>
      </c>
      <c r="G103" s="25" t="s">
        <v>682</v>
      </c>
      <c r="H103" s="25">
        <v>2010</v>
      </c>
    </row>
    <row r="104" spans="1:8" ht="25" x14ac:dyDescent="0.25">
      <c r="A104" s="25" t="s">
        <v>37</v>
      </c>
      <c r="B104" s="25"/>
      <c r="C104" s="25"/>
      <c r="D104" s="25"/>
      <c r="E104" s="25"/>
      <c r="F104" s="25" t="s">
        <v>683</v>
      </c>
      <c r="G104" s="25" t="s">
        <v>684</v>
      </c>
      <c r="H104" s="25"/>
    </row>
    <row r="105" spans="1:8" ht="25" x14ac:dyDescent="0.25">
      <c r="A105" s="25" t="s">
        <v>37</v>
      </c>
      <c r="B105" s="25"/>
      <c r="C105" s="25"/>
      <c r="D105" s="25"/>
      <c r="E105" s="25"/>
      <c r="F105" s="25" t="s">
        <v>685</v>
      </c>
      <c r="G105" s="25" t="s">
        <v>684</v>
      </c>
      <c r="H105" s="25"/>
    </row>
    <row r="106" spans="1:8" ht="25" x14ac:dyDescent="0.25">
      <c r="A106" s="25" t="s">
        <v>37</v>
      </c>
      <c r="B106" s="25"/>
      <c r="C106" s="25"/>
      <c r="D106" s="25"/>
      <c r="E106" s="25"/>
      <c r="F106" s="25" t="s">
        <v>686</v>
      </c>
      <c r="G106" s="25" t="s">
        <v>687</v>
      </c>
      <c r="H106" s="25">
        <v>2004</v>
      </c>
    </row>
    <row r="107" spans="1:8" ht="37.5" x14ac:dyDescent="0.25">
      <c r="A107" s="25" t="s">
        <v>37</v>
      </c>
      <c r="B107" s="25"/>
      <c r="C107" s="25"/>
      <c r="D107" s="25"/>
      <c r="E107" s="25"/>
      <c r="F107" s="25" t="s">
        <v>688</v>
      </c>
      <c r="G107" s="25" t="s">
        <v>689</v>
      </c>
      <c r="H107" s="25">
        <v>1966</v>
      </c>
    </row>
    <row r="108" spans="1:8" ht="25" x14ac:dyDescent="0.25">
      <c r="A108" s="25" t="s">
        <v>19</v>
      </c>
      <c r="B108" s="25"/>
      <c r="C108" s="25" t="s">
        <v>690</v>
      </c>
      <c r="D108" s="25" t="s">
        <v>691</v>
      </c>
      <c r="E108" s="25"/>
      <c r="F108" s="25" t="s">
        <v>692</v>
      </c>
      <c r="G108" s="25"/>
      <c r="H108" s="25">
        <v>2015</v>
      </c>
    </row>
    <row r="109" spans="1:8" ht="25" x14ac:dyDescent="0.25">
      <c r="A109" s="25" t="s">
        <v>19</v>
      </c>
      <c r="B109" s="25"/>
      <c r="C109" s="25" t="s">
        <v>693</v>
      </c>
      <c r="D109" s="25" t="s">
        <v>694</v>
      </c>
      <c r="E109" s="25"/>
      <c r="F109" s="25" t="s">
        <v>695</v>
      </c>
      <c r="G109" s="25" t="s">
        <v>696</v>
      </c>
      <c r="H109" s="25">
        <v>2007</v>
      </c>
    </row>
    <row r="110" spans="1:8" ht="25" x14ac:dyDescent="0.25">
      <c r="A110" s="25" t="s">
        <v>19</v>
      </c>
      <c r="B110" s="25"/>
      <c r="C110" s="25" t="s">
        <v>697</v>
      </c>
      <c r="D110" s="25" t="s">
        <v>698</v>
      </c>
      <c r="E110" s="25"/>
      <c r="F110" s="25" t="s">
        <v>699</v>
      </c>
      <c r="G110" s="25" t="s">
        <v>700</v>
      </c>
      <c r="H110" s="25">
        <v>2005</v>
      </c>
    </row>
    <row r="111" spans="1:8" x14ac:dyDescent="0.25">
      <c r="A111" s="25" t="s">
        <v>19</v>
      </c>
      <c r="B111" s="25"/>
      <c r="C111" s="25" t="s">
        <v>701</v>
      </c>
      <c r="D111" s="25" t="s">
        <v>702</v>
      </c>
      <c r="E111" s="25"/>
      <c r="F111" s="25" t="s">
        <v>703</v>
      </c>
      <c r="G111" s="25" t="s">
        <v>704</v>
      </c>
      <c r="H111" s="25">
        <v>2003</v>
      </c>
    </row>
    <row r="112" spans="1:8" ht="37.5" x14ac:dyDescent="0.25">
      <c r="A112" s="25" t="s">
        <v>19</v>
      </c>
      <c r="B112" s="25"/>
      <c r="C112" s="25" t="s">
        <v>705</v>
      </c>
      <c r="D112" s="25" t="s">
        <v>706</v>
      </c>
      <c r="E112" s="25"/>
      <c r="F112" s="25" t="s">
        <v>707</v>
      </c>
      <c r="G112" s="25" t="s">
        <v>708</v>
      </c>
      <c r="H112" s="25">
        <v>2010</v>
      </c>
    </row>
    <row r="113" spans="1:8" ht="37.5" x14ac:dyDescent="0.25">
      <c r="A113" s="25" t="s">
        <v>19</v>
      </c>
      <c r="B113" s="25"/>
      <c r="C113" s="25" t="s">
        <v>709</v>
      </c>
      <c r="D113" s="25" t="s">
        <v>710</v>
      </c>
      <c r="E113" s="25"/>
      <c r="F113" s="25" t="s">
        <v>711</v>
      </c>
      <c r="G113" s="25" t="s">
        <v>712</v>
      </c>
      <c r="H113" s="25">
        <v>2007</v>
      </c>
    </row>
    <row r="114" spans="1:8" ht="25" x14ac:dyDescent="0.25">
      <c r="A114" s="25" t="s">
        <v>19</v>
      </c>
      <c r="B114" s="25"/>
      <c r="C114" s="25" t="s">
        <v>713</v>
      </c>
      <c r="D114" s="25" t="s">
        <v>714</v>
      </c>
      <c r="E114" s="25"/>
      <c r="F114" s="25" t="s">
        <v>715</v>
      </c>
      <c r="G114" s="25" t="s">
        <v>716</v>
      </c>
      <c r="H114" s="25">
        <v>2012</v>
      </c>
    </row>
    <row r="115" spans="1:8" ht="25" x14ac:dyDescent="0.25">
      <c r="A115" s="25" t="s">
        <v>19</v>
      </c>
      <c r="B115" s="25"/>
      <c r="C115" s="25" t="s">
        <v>717</v>
      </c>
      <c r="D115" s="25" t="s">
        <v>718</v>
      </c>
      <c r="E115" s="25"/>
      <c r="F115" s="25" t="s">
        <v>719</v>
      </c>
      <c r="G115" s="25" t="s">
        <v>720</v>
      </c>
      <c r="H115" s="25">
        <v>2003</v>
      </c>
    </row>
    <row r="116" spans="1:8" x14ac:dyDescent="0.25">
      <c r="A116" s="25" t="s">
        <v>19</v>
      </c>
      <c r="B116" s="25"/>
      <c r="C116" s="25" t="s">
        <v>721</v>
      </c>
      <c r="D116" s="25" t="s">
        <v>722</v>
      </c>
      <c r="E116" s="25"/>
      <c r="F116" s="25" t="s">
        <v>723</v>
      </c>
      <c r="G116" s="25" t="s">
        <v>724</v>
      </c>
      <c r="H116" s="25">
        <v>2002</v>
      </c>
    </row>
    <row r="117" spans="1:8" ht="37.5" x14ac:dyDescent="0.25">
      <c r="A117" s="25" t="s">
        <v>19</v>
      </c>
      <c r="B117" s="25"/>
      <c r="C117" s="25" t="s">
        <v>725</v>
      </c>
      <c r="D117" s="25" t="s">
        <v>726</v>
      </c>
      <c r="E117" s="25"/>
      <c r="F117" s="25" t="s">
        <v>727</v>
      </c>
      <c r="G117" s="25" t="s">
        <v>728</v>
      </c>
      <c r="H117" s="25">
        <v>1998</v>
      </c>
    </row>
    <row r="118" spans="1:8" x14ac:dyDescent="0.25">
      <c r="A118" s="25" t="s">
        <v>19</v>
      </c>
      <c r="B118" s="25"/>
      <c r="C118" s="25" t="s">
        <v>729</v>
      </c>
      <c r="D118" s="25"/>
      <c r="E118" s="25"/>
      <c r="F118" s="25" t="s">
        <v>730</v>
      </c>
      <c r="G118" s="25" t="s">
        <v>731</v>
      </c>
      <c r="H118" s="25">
        <v>2002</v>
      </c>
    </row>
    <row r="119" spans="1:8" ht="25" x14ac:dyDescent="0.25">
      <c r="A119" s="25" t="s">
        <v>19</v>
      </c>
      <c r="B119" s="25"/>
      <c r="C119" s="25" t="s">
        <v>732</v>
      </c>
      <c r="D119" s="25" t="s">
        <v>733</v>
      </c>
      <c r="E119" s="25"/>
      <c r="F119" s="25" t="s">
        <v>734</v>
      </c>
      <c r="G119" s="25" t="s">
        <v>735</v>
      </c>
      <c r="H119" s="25">
        <v>2005</v>
      </c>
    </row>
    <row r="120" spans="1:8" ht="37.5" x14ac:dyDescent="0.25">
      <c r="A120" s="25" t="s">
        <v>19</v>
      </c>
      <c r="B120" s="25"/>
      <c r="C120" s="25" t="s">
        <v>736</v>
      </c>
      <c r="D120" s="25" t="s">
        <v>737</v>
      </c>
      <c r="E120" s="25"/>
      <c r="F120" s="25" t="s">
        <v>738</v>
      </c>
      <c r="G120" s="25" t="s">
        <v>739</v>
      </c>
      <c r="H120" s="25">
        <v>2013</v>
      </c>
    </row>
    <row r="121" spans="1:8" ht="37.5" x14ac:dyDescent="0.25">
      <c r="A121" s="25" t="s">
        <v>19</v>
      </c>
      <c r="B121" s="25"/>
      <c r="C121" s="25" t="s">
        <v>740</v>
      </c>
      <c r="D121" s="25" t="s">
        <v>741</v>
      </c>
      <c r="E121" s="25"/>
      <c r="F121" s="25" t="s">
        <v>742</v>
      </c>
      <c r="G121" s="25" t="s">
        <v>743</v>
      </c>
      <c r="H121" s="25">
        <v>2011</v>
      </c>
    </row>
    <row r="122" spans="1:8" ht="25" x14ac:dyDescent="0.25">
      <c r="A122" s="25" t="s">
        <v>19</v>
      </c>
      <c r="B122" s="25"/>
      <c r="C122" s="25" t="s">
        <v>744</v>
      </c>
      <c r="D122" s="25" t="s">
        <v>745</v>
      </c>
      <c r="E122" s="25"/>
      <c r="F122" s="25" t="s">
        <v>746</v>
      </c>
      <c r="G122" s="25" t="s">
        <v>747</v>
      </c>
      <c r="H122" s="25">
        <v>2008</v>
      </c>
    </row>
    <row r="123" spans="1:8" ht="37.5" x14ac:dyDescent="0.25">
      <c r="A123" s="25" t="s">
        <v>19</v>
      </c>
      <c r="B123" s="25"/>
      <c r="C123" s="25" t="s">
        <v>748</v>
      </c>
      <c r="D123" s="25" t="s">
        <v>749</v>
      </c>
      <c r="E123" s="25"/>
      <c r="F123" s="25" t="s">
        <v>750</v>
      </c>
      <c r="G123" s="25"/>
      <c r="H123" s="25">
        <v>2013</v>
      </c>
    </row>
    <row r="124" spans="1:8" ht="25" x14ac:dyDescent="0.25">
      <c r="A124" s="25" t="s">
        <v>19</v>
      </c>
      <c r="B124" s="25"/>
      <c r="C124" s="25" t="s">
        <v>748</v>
      </c>
      <c r="D124" s="25" t="s">
        <v>749</v>
      </c>
      <c r="E124" s="25"/>
      <c r="F124" s="25" t="s">
        <v>751</v>
      </c>
      <c r="G124" s="25" t="s">
        <v>752</v>
      </c>
      <c r="H124" s="25">
        <v>2014</v>
      </c>
    </row>
    <row r="125" spans="1:8" x14ac:dyDescent="0.25">
      <c r="A125" s="25" t="s">
        <v>19</v>
      </c>
      <c r="B125" s="25"/>
      <c r="C125" s="25" t="s">
        <v>753</v>
      </c>
      <c r="D125" s="25" t="s">
        <v>754</v>
      </c>
      <c r="E125" s="25"/>
      <c r="F125" s="25" t="s">
        <v>755</v>
      </c>
      <c r="G125" s="25"/>
      <c r="H125" s="25">
        <v>2015</v>
      </c>
    </row>
    <row r="126" spans="1:8" ht="25" x14ac:dyDescent="0.25">
      <c r="A126" s="25" t="s">
        <v>19</v>
      </c>
      <c r="B126" s="25"/>
      <c r="C126" s="25" t="s">
        <v>756</v>
      </c>
      <c r="D126" s="25" t="s">
        <v>757</v>
      </c>
      <c r="E126" s="25"/>
      <c r="F126" s="25" t="s">
        <v>758</v>
      </c>
      <c r="G126" s="25" t="s">
        <v>759</v>
      </c>
      <c r="H126" s="25">
        <v>2010</v>
      </c>
    </row>
    <row r="127" spans="1:8" ht="25" x14ac:dyDescent="0.25">
      <c r="A127" s="25" t="s">
        <v>19</v>
      </c>
      <c r="B127" s="25"/>
      <c r="C127" s="25" t="s">
        <v>760</v>
      </c>
      <c r="D127" s="25"/>
      <c r="E127" s="25" t="s">
        <v>554</v>
      </c>
      <c r="F127" s="25" t="s">
        <v>761</v>
      </c>
      <c r="G127" s="25"/>
      <c r="H127" s="25">
        <v>2014</v>
      </c>
    </row>
    <row r="128" spans="1:8" ht="25" x14ac:dyDescent="0.25">
      <c r="A128" s="25" t="s">
        <v>19</v>
      </c>
      <c r="B128" s="25"/>
      <c r="C128" s="25" t="s">
        <v>762</v>
      </c>
      <c r="D128" s="25" t="s">
        <v>763</v>
      </c>
      <c r="E128" s="25"/>
      <c r="F128" s="25" t="s">
        <v>764</v>
      </c>
      <c r="G128" s="25"/>
      <c r="H128" s="25">
        <v>2014</v>
      </c>
    </row>
    <row r="129" spans="1:8" ht="25" x14ac:dyDescent="0.25">
      <c r="A129" s="25" t="s">
        <v>19</v>
      </c>
      <c r="B129" s="25"/>
      <c r="C129" s="25" t="s">
        <v>765</v>
      </c>
      <c r="D129" s="25" t="s">
        <v>766</v>
      </c>
      <c r="E129" s="25"/>
      <c r="F129" s="25" t="s">
        <v>767</v>
      </c>
      <c r="G129" s="25" t="s">
        <v>768</v>
      </c>
      <c r="H129" s="25">
        <v>2006</v>
      </c>
    </row>
    <row r="130" spans="1:8" x14ac:dyDescent="0.25">
      <c r="A130" s="25" t="s">
        <v>19</v>
      </c>
      <c r="B130" s="25"/>
      <c r="C130" s="25" t="s">
        <v>769</v>
      </c>
      <c r="D130" s="25" t="s">
        <v>770</v>
      </c>
      <c r="E130" s="25"/>
      <c r="F130" s="25" t="s">
        <v>771</v>
      </c>
      <c r="G130" s="25" t="s">
        <v>772</v>
      </c>
      <c r="H130" s="25">
        <v>2012</v>
      </c>
    </row>
    <row r="131" spans="1:8" ht="37.5" x14ac:dyDescent="0.25">
      <c r="A131" s="25" t="s">
        <v>19</v>
      </c>
      <c r="B131" s="25"/>
      <c r="C131" s="25" t="s">
        <v>773</v>
      </c>
      <c r="D131" s="25" t="s">
        <v>774</v>
      </c>
      <c r="E131" s="25"/>
      <c r="F131" s="25" t="s">
        <v>775</v>
      </c>
      <c r="G131" s="25" t="s">
        <v>776</v>
      </c>
      <c r="H131" s="25">
        <v>2012</v>
      </c>
    </row>
    <row r="132" spans="1:8" x14ac:dyDescent="0.25">
      <c r="A132" s="25" t="s">
        <v>19</v>
      </c>
      <c r="B132" s="25"/>
      <c r="C132" s="25" t="s">
        <v>777</v>
      </c>
      <c r="D132" s="25" t="s">
        <v>778</v>
      </c>
      <c r="E132" s="25"/>
      <c r="F132" s="25" t="s">
        <v>779</v>
      </c>
      <c r="G132" s="25" t="s">
        <v>772</v>
      </c>
      <c r="H132" s="25">
        <v>2013</v>
      </c>
    </row>
    <row r="133" spans="1:8" ht="25" x14ac:dyDescent="0.25">
      <c r="A133" s="25" t="s">
        <v>19</v>
      </c>
      <c r="B133" s="25"/>
      <c r="C133" s="25" t="s">
        <v>780</v>
      </c>
      <c r="D133" s="25"/>
      <c r="E133" s="25"/>
      <c r="F133" s="25" t="s">
        <v>781</v>
      </c>
      <c r="G133" s="25" t="s">
        <v>782</v>
      </c>
      <c r="H133" s="25">
        <v>2001</v>
      </c>
    </row>
    <row r="134" spans="1:8" ht="25" x14ac:dyDescent="0.25">
      <c r="A134" s="25" t="s">
        <v>19</v>
      </c>
      <c r="B134" s="25"/>
      <c r="C134" s="25" t="s">
        <v>783</v>
      </c>
      <c r="D134" s="25"/>
      <c r="E134" s="25" t="s">
        <v>554</v>
      </c>
      <c r="F134" s="25" t="s">
        <v>784</v>
      </c>
      <c r="G134" s="25"/>
      <c r="H134" s="25">
        <v>2015</v>
      </c>
    </row>
    <row r="135" spans="1:8" x14ac:dyDescent="0.25">
      <c r="A135" s="25" t="s">
        <v>19</v>
      </c>
      <c r="B135" s="25"/>
      <c r="C135" s="25" t="s">
        <v>785</v>
      </c>
      <c r="D135" s="25" t="s">
        <v>786</v>
      </c>
      <c r="E135" s="25"/>
      <c r="F135" s="25" t="s">
        <v>787</v>
      </c>
      <c r="G135" s="25"/>
      <c r="H135" s="25">
        <v>2015</v>
      </c>
    </row>
    <row r="136" spans="1:8" ht="37.5" x14ac:dyDescent="0.25">
      <c r="A136" s="25" t="s">
        <v>19</v>
      </c>
      <c r="B136" s="25"/>
      <c r="C136" s="25" t="s">
        <v>788</v>
      </c>
      <c r="D136" s="25" t="s">
        <v>789</v>
      </c>
      <c r="E136" s="25"/>
      <c r="F136" s="25" t="s">
        <v>790</v>
      </c>
      <c r="G136" s="25" t="s">
        <v>791</v>
      </c>
      <c r="H136" s="25">
        <v>2007</v>
      </c>
    </row>
    <row r="137" spans="1:8" ht="25" x14ac:dyDescent="0.25">
      <c r="A137" s="25" t="s">
        <v>19</v>
      </c>
      <c r="B137" s="25"/>
      <c r="C137" s="25" t="s">
        <v>792</v>
      </c>
      <c r="D137" s="25"/>
      <c r="E137" s="25"/>
      <c r="F137" s="25" t="s">
        <v>793</v>
      </c>
      <c r="G137" s="25"/>
      <c r="H137" s="25">
        <v>2014</v>
      </c>
    </row>
    <row r="138" spans="1:8" ht="25" x14ac:dyDescent="0.25">
      <c r="A138" s="25" t="s">
        <v>19</v>
      </c>
      <c r="B138" s="25"/>
      <c r="C138" s="25" t="s">
        <v>794</v>
      </c>
      <c r="D138" s="25" t="s">
        <v>795</v>
      </c>
      <c r="E138" s="25"/>
      <c r="F138" s="25" t="s">
        <v>796</v>
      </c>
      <c r="G138" s="25" t="s">
        <v>797</v>
      </c>
      <c r="H138" s="25">
        <v>1978</v>
      </c>
    </row>
    <row r="139" spans="1:8" ht="25" x14ac:dyDescent="0.25">
      <c r="A139" s="25" t="s">
        <v>19</v>
      </c>
      <c r="B139" s="25"/>
      <c r="C139" s="25" t="s">
        <v>798</v>
      </c>
      <c r="D139" s="25" t="s">
        <v>799</v>
      </c>
      <c r="E139" s="25"/>
      <c r="F139" s="25" t="s">
        <v>800</v>
      </c>
      <c r="G139" s="25" t="s">
        <v>801</v>
      </c>
      <c r="H139" s="25">
        <v>1992</v>
      </c>
    </row>
    <row r="140" spans="1:8" ht="25" x14ac:dyDescent="0.25">
      <c r="A140" s="25" t="s">
        <v>19</v>
      </c>
      <c r="B140" s="25"/>
      <c r="C140" s="25" t="s">
        <v>802</v>
      </c>
      <c r="D140" s="25" t="s">
        <v>803</v>
      </c>
      <c r="E140" s="25"/>
      <c r="F140" s="25" t="s">
        <v>804</v>
      </c>
      <c r="G140" s="25" t="s">
        <v>805</v>
      </c>
      <c r="H140" s="25">
        <v>2000</v>
      </c>
    </row>
    <row r="141" spans="1:8" ht="25" x14ac:dyDescent="0.25">
      <c r="A141" s="25" t="s">
        <v>19</v>
      </c>
      <c r="B141" s="25"/>
      <c r="C141" s="25" t="s">
        <v>806</v>
      </c>
      <c r="D141" s="25" t="s">
        <v>807</v>
      </c>
      <c r="E141" s="25" t="s">
        <v>554</v>
      </c>
      <c r="F141" s="25" t="s">
        <v>808</v>
      </c>
      <c r="G141" s="25"/>
      <c r="H141" s="25">
        <v>2015</v>
      </c>
    </row>
    <row r="142" spans="1:8" ht="25" x14ac:dyDescent="0.25">
      <c r="A142" s="25" t="s">
        <v>19</v>
      </c>
      <c r="B142" s="25"/>
      <c r="C142" s="25" t="s">
        <v>809</v>
      </c>
      <c r="D142" s="25" t="s">
        <v>810</v>
      </c>
      <c r="E142" s="25"/>
      <c r="F142" s="25" t="s">
        <v>811</v>
      </c>
      <c r="G142" s="25" t="s">
        <v>812</v>
      </c>
      <c r="H142" s="25">
        <v>2009</v>
      </c>
    </row>
    <row r="143" spans="1:8" ht="25" x14ac:dyDescent="0.25">
      <c r="A143" s="25" t="s">
        <v>19</v>
      </c>
      <c r="B143" s="25"/>
      <c r="C143" s="25" t="s">
        <v>813</v>
      </c>
      <c r="D143" s="25" t="s">
        <v>814</v>
      </c>
      <c r="E143" s="25"/>
      <c r="F143" s="25" t="s">
        <v>815</v>
      </c>
      <c r="G143" s="25" t="s">
        <v>816</v>
      </c>
      <c r="H143" s="25">
        <v>2011</v>
      </c>
    </row>
    <row r="144" spans="1:8" ht="25" x14ac:dyDescent="0.25">
      <c r="A144" s="25" t="s">
        <v>19</v>
      </c>
      <c r="B144" s="25"/>
      <c r="C144" s="25" t="s">
        <v>817</v>
      </c>
      <c r="D144" s="25" t="s">
        <v>818</v>
      </c>
      <c r="E144" s="25" t="s">
        <v>554</v>
      </c>
      <c r="F144" s="25" t="s">
        <v>819</v>
      </c>
      <c r="G144" s="25"/>
      <c r="H144" s="25">
        <v>2015</v>
      </c>
    </row>
    <row r="145" spans="1:8" ht="25" x14ac:dyDescent="0.25">
      <c r="A145" s="25" t="s">
        <v>21</v>
      </c>
      <c r="B145" s="25"/>
      <c r="C145" s="25" t="s">
        <v>820</v>
      </c>
      <c r="D145" s="25" t="s">
        <v>821</v>
      </c>
      <c r="E145" s="25"/>
      <c r="F145" s="25" t="s">
        <v>822</v>
      </c>
      <c r="G145" s="25" t="s">
        <v>823</v>
      </c>
      <c r="H145" s="25">
        <v>2013</v>
      </c>
    </row>
    <row r="146" spans="1:8" ht="25" x14ac:dyDescent="0.25">
      <c r="A146" s="25" t="s">
        <v>21</v>
      </c>
      <c r="B146" s="25"/>
      <c r="C146" s="25" t="s">
        <v>824</v>
      </c>
      <c r="D146" s="25" t="s">
        <v>821</v>
      </c>
      <c r="E146" s="25"/>
      <c r="F146" s="25" t="s">
        <v>825</v>
      </c>
      <c r="G146" s="25" t="s">
        <v>823</v>
      </c>
      <c r="H146" s="25">
        <v>2010</v>
      </c>
    </row>
    <row r="147" spans="1:8" ht="25" x14ac:dyDescent="0.25">
      <c r="A147" s="25" t="s">
        <v>22</v>
      </c>
      <c r="B147" s="25"/>
      <c r="C147" s="25" t="s">
        <v>826</v>
      </c>
      <c r="D147" s="25" t="s">
        <v>827</v>
      </c>
      <c r="E147" s="25"/>
      <c r="F147" s="25" t="s">
        <v>828</v>
      </c>
      <c r="G147" s="25" t="s">
        <v>829</v>
      </c>
      <c r="H147" s="25">
        <v>2005</v>
      </c>
    </row>
    <row r="148" spans="1:8" x14ac:dyDescent="0.25">
      <c r="A148" s="25" t="s">
        <v>22</v>
      </c>
      <c r="B148" s="25"/>
      <c r="C148" s="25" t="s">
        <v>830</v>
      </c>
      <c r="D148" s="25" t="s">
        <v>831</v>
      </c>
      <c r="E148" s="25"/>
      <c r="F148" s="25" t="s">
        <v>832</v>
      </c>
      <c r="G148" s="25"/>
      <c r="H148" s="25">
        <v>2014</v>
      </c>
    </row>
    <row r="149" spans="1:8" x14ac:dyDescent="0.25">
      <c r="A149" s="25" t="s">
        <v>22</v>
      </c>
      <c r="B149" s="25"/>
      <c r="C149" s="25" t="s">
        <v>833</v>
      </c>
      <c r="D149" s="25" t="s">
        <v>834</v>
      </c>
      <c r="E149" s="25"/>
      <c r="F149" s="25" t="s">
        <v>835</v>
      </c>
      <c r="G149" s="25" t="s">
        <v>704</v>
      </c>
      <c r="H149" s="25">
        <v>2011</v>
      </c>
    </row>
    <row r="150" spans="1:8" ht="25" x14ac:dyDescent="0.25">
      <c r="A150" s="25" t="s">
        <v>22</v>
      </c>
      <c r="B150" s="25"/>
      <c r="C150" s="25" t="s">
        <v>836</v>
      </c>
      <c r="D150" s="25" t="s">
        <v>837</v>
      </c>
      <c r="E150" s="25"/>
      <c r="F150" s="25" t="s">
        <v>838</v>
      </c>
      <c r="G150" s="25"/>
      <c r="H150" s="25">
        <v>2014</v>
      </c>
    </row>
    <row r="151" spans="1:8" ht="25" x14ac:dyDescent="0.25">
      <c r="A151" s="25" t="s">
        <v>22</v>
      </c>
      <c r="B151" s="25"/>
      <c r="C151" s="25" t="s">
        <v>839</v>
      </c>
      <c r="D151" s="25" t="s">
        <v>840</v>
      </c>
      <c r="E151" s="25" t="s">
        <v>554</v>
      </c>
      <c r="F151" s="25" t="s">
        <v>841</v>
      </c>
      <c r="G151" s="25"/>
      <c r="H151" s="25">
        <v>2015</v>
      </c>
    </row>
    <row r="152" spans="1:8" x14ac:dyDescent="0.25">
      <c r="A152" s="25" t="s">
        <v>22</v>
      </c>
      <c r="B152" s="25"/>
      <c r="C152" s="25" t="s">
        <v>842</v>
      </c>
      <c r="D152" s="25" t="s">
        <v>843</v>
      </c>
      <c r="E152" s="25"/>
      <c r="F152" s="25" t="s">
        <v>844</v>
      </c>
      <c r="G152" s="25" t="s">
        <v>845</v>
      </c>
      <c r="H152" s="25">
        <v>2004</v>
      </c>
    </row>
    <row r="153" spans="1:8" ht="25" x14ac:dyDescent="0.25">
      <c r="A153" s="25" t="s">
        <v>310</v>
      </c>
      <c r="B153" s="25"/>
      <c r="C153" s="25" t="s">
        <v>846</v>
      </c>
      <c r="D153" s="25" t="s">
        <v>847</v>
      </c>
      <c r="E153" s="25"/>
      <c r="F153" s="25" t="s">
        <v>848</v>
      </c>
      <c r="G153" s="25" t="s">
        <v>849</v>
      </c>
      <c r="H153" s="25">
        <v>2010</v>
      </c>
    </row>
    <row r="154" spans="1:8" ht="25" x14ac:dyDescent="0.25">
      <c r="A154" s="25" t="s">
        <v>310</v>
      </c>
      <c r="B154" s="25"/>
      <c r="C154" s="25" t="s">
        <v>850</v>
      </c>
      <c r="D154" s="25" t="s">
        <v>851</v>
      </c>
      <c r="E154" s="25"/>
      <c r="F154" s="25" t="s">
        <v>852</v>
      </c>
      <c r="G154" s="25" t="s">
        <v>849</v>
      </c>
      <c r="H154" s="25">
        <v>2012</v>
      </c>
    </row>
    <row r="155" spans="1:8" ht="25" x14ac:dyDescent="0.25">
      <c r="A155" s="25" t="s">
        <v>51</v>
      </c>
      <c r="B155" s="25"/>
      <c r="C155" s="25" t="s">
        <v>853</v>
      </c>
      <c r="D155" s="25" t="s">
        <v>854</v>
      </c>
      <c r="E155" s="25"/>
      <c r="F155" s="25" t="s">
        <v>855</v>
      </c>
      <c r="G155" s="25"/>
      <c r="H155" s="25">
        <v>2014</v>
      </c>
    </row>
    <row r="156" spans="1:8" ht="108" customHeight="1" x14ac:dyDescent="0.25"/>
  </sheetData>
  <pageMargins left="0.25" right="0.25" top="0.25" bottom="0.25" header="0.25" footer="0.25"/>
  <pageSetup orientation="landscape" r:id="rId1"/>
  <headerFooter alignWithMargins="0">
    <oddFooter>&amp;L&amp;C&amp;R</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G4"/>
  <sheetViews>
    <sheetView workbookViewId="0"/>
  </sheetViews>
  <sheetFormatPr defaultRowHeight="12.5" x14ac:dyDescent="0.25"/>
  <sheetData>
    <row r="3" spans="6:7" x14ac:dyDescent="0.25">
      <c r="F3" s="22" t="s">
        <v>331</v>
      </c>
    </row>
    <row r="4" spans="6:7" ht="13" x14ac:dyDescent="0.3">
      <c r="G4" s="23" t="s">
        <v>332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82" r:id="rId4" name="CheckBox1">
          <controlPr defaultSize="0" autoLine="0" autoPict="0" r:id="rId5">
            <anchor moveWithCells="1">
              <from>
                <xdr:col>2</xdr:col>
                <xdr:colOff>419100</xdr:colOff>
                <xdr:row>21</xdr:row>
                <xdr:rowOff>76200</xdr:rowOff>
              </from>
              <to>
                <xdr:col>4</xdr:col>
                <xdr:colOff>584200</xdr:colOff>
                <xdr:row>23</xdr:row>
                <xdr:rowOff>57150</xdr:rowOff>
              </to>
            </anchor>
          </controlPr>
        </control>
      </mc:Choice>
      <mc:Fallback>
        <control shapeId="3082" r:id="rId4" name="CheckBox1"/>
      </mc:Fallback>
    </mc:AlternateContent>
    <mc:AlternateContent xmlns:mc="http://schemas.openxmlformats.org/markup-compatibility/2006">
      <mc:Choice Requires="x14">
        <control shapeId="3073" r:id="rId6" name="Button 1">
          <controlPr defaultSize="0" print="0" autoFill="0" autoPict="0" macro="[0]!rtfSort">
            <anchor moveWithCells="1" sizeWithCells="1">
              <from>
                <xdr:col>1</xdr:col>
                <xdr:colOff>12700</xdr:colOff>
                <xdr:row>1</xdr:row>
                <xdr:rowOff>107950</xdr:rowOff>
              </from>
              <to>
                <xdr:col>4</xdr:col>
                <xdr:colOff>57150</xdr:colOff>
                <xdr:row>7</xdr:row>
                <xdr:rowOff>114300</xdr:rowOff>
              </to>
            </anchor>
          </controlPr>
        </control>
      </mc:Choice>
    </mc:AlternateContent>
    <mc:AlternateContent xmlns:mc="http://schemas.openxmlformats.org/markup-compatibility/2006">
      <mc:Choice Requires="x14">
        <control shapeId="3075" r:id="rId7" name="Button 3">
          <controlPr defaultSize="0" autoFill="0" autoPict="0" macro="[0]!unhideIndex">
            <anchor moveWithCells="1" sizeWithCells="1">
              <from>
                <xdr:col>1</xdr:col>
                <xdr:colOff>0</xdr:colOff>
                <xdr:row>9</xdr:row>
                <xdr:rowOff>107950</xdr:rowOff>
              </from>
              <to>
                <xdr:col>3</xdr:col>
                <xdr:colOff>0</xdr:colOff>
                <xdr:row>12</xdr:row>
                <xdr:rowOff>19050</xdr:rowOff>
              </to>
            </anchor>
          </controlPr>
        </control>
      </mc:Choice>
    </mc:AlternateContent>
    <mc:AlternateContent xmlns:mc="http://schemas.openxmlformats.org/markup-compatibility/2006">
      <mc:Choice Requires="x14">
        <control shapeId="3076" r:id="rId8" name="Button 4">
          <controlPr defaultSize="0" autoFill="0" autoPict="0" macro="[0]!unhideSections">
            <anchor moveWithCells="1" sizeWithCells="1">
              <from>
                <xdr:col>1</xdr:col>
                <xdr:colOff>12700</xdr:colOff>
                <xdr:row>13</xdr:row>
                <xdr:rowOff>50800</xdr:rowOff>
              </from>
              <to>
                <xdr:col>2</xdr:col>
                <xdr:colOff>590550</xdr:colOff>
                <xdr:row>15</xdr:row>
                <xdr:rowOff>101600</xdr:rowOff>
              </to>
            </anchor>
          </controlPr>
        </control>
      </mc:Choice>
    </mc:AlternateContent>
    <mc:AlternateContent xmlns:mc="http://schemas.openxmlformats.org/markup-compatibility/2006">
      <mc:Choice Requires="x14">
        <control shapeId="3079" r:id="rId9" name="Group Box 7">
          <controlPr defaultSize="0" autoFill="0" autoPict="0">
            <anchor moveWithCells="1">
              <from>
                <xdr:col>1</xdr:col>
                <xdr:colOff>285750</xdr:colOff>
                <xdr:row>20</xdr:row>
                <xdr:rowOff>69850</xdr:rowOff>
              </from>
              <to>
                <xdr:col>12</xdr:col>
                <xdr:colOff>184150</xdr:colOff>
                <xdr:row>25</xdr:row>
                <xdr:rowOff>57150</xdr:rowOff>
              </to>
            </anchor>
          </controlPr>
        </control>
      </mc:Choice>
    </mc:AlternateContent>
    <mc:AlternateContent xmlns:mc="http://schemas.openxmlformats.org/markup-compatibility/2006">
      <mc:Choice Requires="x14">
        <control shapeId="3080" r:id="rId10" name="Group Box 8">
          <controlPr defaultSize="0" autoFill="0" autoPict="0">
            <anchor moveWithCells="1">
              <from>
                <xdr:col>0</xdr:col>
                <xdr:colOff>450850</xdr:colOff>
                <xdr:row>0</xdr:row>
                <xdr:rowOff>107950</xdr:rowOff>
              </from>
              <to>
                <xdr:col>13</xdr:col>
                <xdr:colOff>0</xdr:colOff>
                <xdr:row>27</xdr:row>
                <xdr:rowOff>57150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218"/>
  <sheetViews>
    <sheetView zoomScale="85" zoomScaleNormal="85" workbookViewId="0">
      <selection activeCell="G39" sqref="G39"/>
    </sheetView>
  </sheetViews>
  <sheetFormatPr defaultColWidth="8.81640625" defaultRowHeight="18.5" x14ac:dyDescent="0.45"/>
  <cols>
    <col min="1" max="1" width="26" bestFit="1" customWidth="1"/>
    <col min="2" max="2" width="10.54296875" style="6" customWidth="1"/>
    <col min="3" max="3" width="22.453125" style="6" customWidth="1"/>
    <col min="4" max="4" width="16.54296875" style="6" customWidth="1"/>
    <col min="5" max="5" width="9.81640625" style="6" customWidth="1"/>
    <col min="6" max="6" width="38.7265625" style="6" customWidth="1"/>
    <col min="7" max="7" width="16" bestFit="1" customWidth="1"/>
    <col min="8" max="8" width="31.1796875" style="7" hidden="1" customWidth="1"/>
    <col min="9" max="9" width="25.7265625" bestFit="1" customWidth="1"/>
    <col min="10" max="10" width="26.26953125" style="7" bestFit="1" customWidth="1"/>
    <col min="11" max="14" width="8.81640625" style="6"/>
    <col min="15" max="15" width="10.7265625" style="6" bestFit="1" customWidth="1"/>
    <col min="16" max="18" width="8.81640625" style="6"/>
    <col min="19" max="19" width="8" style="6" customWidth="1"/>
    <col min="20" max="16384" width="8.81640625" style="6"/>
  </cols>
  <sheetData>
    <row r="1" spans="1:10" ht="37.5" thickBot="1" x14ac:dyDescent="0.5">
      <c r="A1" s="10" t="s">
        <v>291</v>
      </c>
      <c r="B1" s="10" t="s">
        <v>295</v>
      </c>
      <c r="C1" s="10" t="s">
        <v>294</v>
      </c>
      <c r="D1" s="10" t="s">
        <v>303</v>
      </c>
      <c r="E1" s="10" t="s">
        <v>304</v>
      </c>
      <c r="F1" s="10" t="s">
        <v>286</v>
      </c>
      <c r="G1" s="10" t="s">
        <v>293</v>
      </c>
      <c r="H1" s="10" t="s">
        <v>302</v>
      </c>
      <c r="I1" s="2" t="s">
        <v>292</v>
      </c>
      <c r="J1" s="6"/>
    </row>
    <row r="2" spans="1:10" ht="19.5" thickTop="1" thickBot="1" x14ac:dyDescent="0.5">
      <c r="A2" s="8" t="s">
        <v>19</v>
      </c>
      <c r="B2" s="8" t="b">
        <f>ISNUMBER(IndexTbl[[#This Row],[Class]])</f>
        <v>1</v>
      </c>
      <c r="C2" s="8" t="str">
        <f>TRIM(IndexTbl[[#This Row],[Prefix]]&amp;IF(NOT(IndexTbl[[#This Row],[Dewey Number]])," "&amp;IndexTbl[[#This Row],[Class]],""))</f>
        <v/>
      </c>
      <c r="D2" s="9"/>
      <c r="E2" s="9">
        <v>999.99</v>
      </c>
      <c r="F2" s="9" t="s">
        <v>269</v>
      </c>
      <c r="G2" s="8"/>
      <c r="H2" s="8" t="s">
        <v>135</v>
      </c>
      <c r="I2" s="20" t="str">
        <f ca="1">INDEX(SectionsTbl[Section Description],RANDBETWEEN(1,4))</f>
        <v>Section 2</v>
      </c>
      <c r="J2" s="6"/>
    </row>
    <row r="3" spans="1:10" ht="19.5" thickTop="1" thickBot="1" x14ac:dyDescent="0.5">
      <c r="A3" s="8" t="s">
        <v>47</v>
      </c>
      <c r="B3" s="8" t="b">
        <f>ISNUMBER(IndexTbl[[#This Row],[Class]])</f>
        <v>1</v>
      </c>
      <c r="C3" s="8" t="str">
        <f>TRIM(IndexTbl[[#This Row],[Prefix]]&amp;IF(NOT(IndexTbl[[#This Row],[Dewey Number]])," "&amp;IndexTbl[[#This Row],[Class]],""))</f>
        <v>J</v>
      </c>
      <c r="D3" s="9" t="s">
        <v>88</v>
      </c>
      <c r="E3" s="9">
        <v>999.99</v>
      </c>
      <c r="F3" s="9" t="s">
        <v>252</v>
      </c>
      <c r="G3" s="8"/>
      <c r="H3" s="8" t="s">
        <v>91</v>
      </c>
      <c r="I3" s="20" t="str">
        <f ca="1">INDEX(SectionsTbl[Section Description],RANDBETWEEN(1,4))</f>
        <v>Section 4</v>
      </c>
      <c r="J3" s="6"/>
    </row>
    <row r="4" spans="1:10" ht="19.5" thickTop="1" thickBot="1" x14ac:dyDescent="0.5">
      <c r="A4" s="8" t="s">
        <v>40</v>
      </c>
      <c r="B4" s="8" t="b">
        <f>ISNUMBER(IndexTbl[[#This Row],[Class]])</f>
        <v>1</v>
      </c>
      <c r="C4" s="8" t="str">
        <f>TRIM(IndexTbl[[#This Row],[Prefix]]&amp;IF(NOT(IndexTbl[[#This Row],[Dewey Number]])," "&amp;IndexTbl[[#This Row],[Class]],""))</f>
        <v>CD</v>
      </c>
      <c r="D4" s="9" t="s">
        <v>138</v>
      </c>
      <c r="E4" s="9">
        <v>999.99</v>
      </c>
      <c r="F4" s="9" t="s">
        <v>271</v>
      </c>
      <c r="G4" s="8"/>
      <c r="H4" s="8" t="s">
        <v>139</v>
      </c>
      <c r="I4" s="20" t="str">
        <f ca="1">INDEX(SectionsTbl[Section Description],RANDBETWEEN(1,4))</f>
        <v>Section 1</v>
      </c>
      <c r="J4" s="6"/>
    </row>
    <row r="5" spans="1:10" ht="19.5" thickTop="1" thickBot="1" x14ac:dyDescent="0.5">
      <c r="A5" s="8" t="s">
        <v>51</v>
      </c>
      <c r="B5" s="8" t="b">
        <f>ISNUMBER(IndexTbl[[#This Row],[Class]])</f>
        <v>1</v>
      </c>
      <c r="C5" s="8" t="str">
        <f>TRIM(IndexTbl[[#This Row],[Prefix]]&amp;IF(NOT(IndexTbl[[#This Row],[Dewey Number]])," "&amp;IndexTbl[[#This Row],[Class]],""))</f>
        <v>TEEN</v>
      </c>
      <c r="D5" s="9" t="s">
        <v>206</v>
      </c>
      <c r="E5" s="9">
        <v>999.99</v>
      </c>
      <c r="F5" s="9" t="s">
        <v>280</v>
      </c>
      <c r="G5" s="8"/>
      <c r="H5" s="8" t="s">
        <v>207</v>
      </c>
      <c r="I5" s="20" t="str">
        <f ca="1">INDEX(SectionsTbl[Section Description],RANDBETWEEN(1,4))</f>
        <v>Section 4</v>
      </c>
      <c r="J5" s="6"/>
    </row>
    <row r="6" spans="1:10" ht="19.5" thickTop="1" thickBot="1" x14ac:dyDescent="0.5">
      <c r="A6" s="8" t="s">
        <v>20</v>
      </c>
      <c r="B6" s="8" t="b">
        <f>ISNUMBER(IndexTbl[[#This Row],[Class]])</f>
        <v>0</v>
      </c>
      <c r="C6" s="8" t="str">
        <f>TRIM(IndexTbl[[#This Row],[Prefix]]&amp;IF(NOT(IndexTbl[[#This Row],[Dewey Number]])," "&amp;IndexTbl[[#This Row],[Class]],""))</f>
        <v>BIO</v>
      </c>
      <c r="D6" s="9"/>
      <c r="E6" s="9" t="s">
        <v>59</v>
      </c>
      <c r="F6" s="9" t="s">
        <v>266</v>
      </c>
      <c r="G6" s="8"/>
      <c r="H6" s="8" t="s">
        <v>136</v>
      </c>
      <c r="I6" s="20" t="str">
        <f ca="1">INDEX(SectionsTbl[Section Description],RANDBETWEEN(1,4))</f>
        <v>Section 4</v>
      </c>
      <c r="J6" s="6"/>
    </row>
    <row r="7" spans="1:10" ht="19.5" thickTop="1" thickBot="1" x14ac:dyDescent="0.5">
      <c r="A7" s="8" t="s">
        <v>43</v>
      </c>
      <c r="B7" s="8" t="b">
        <f>ISNUMBER(IndexTbl[[#This Row],[Class]])</f>
        <v>0</v>
      </c>
      <c r="C7" s="8" t="str">
        <f>TRIM(IndexTbl[[#This Row],[Prefix]]&amp;IF(NOT(IndexTbl[[#This Row],[Dewey Number]])," "&amp;IndexTbl[[#This Row],[Class]],""))</f>
        <v>J BIO</v>
      </c>
      <c r="D7" s="9" t="s">
        <v>88</v>
      </c>
      <c r="E7" s="9" t="s">
        <v>59</v>
      </c>
      <c r="F7" s="9" t="s">
        <v>266</v>
      </c>
      <c r="G7" s="8"/>
      <c r="H7" s="8" t="s">
        <v>104</v>
      </c>
      <c r="I7" s="20" t="str">
        <f ca="1">INDEX(SectionsTbl[Section Description],RANDBETWEEN(1,4))</f>
        <v>Section 4</v>
      </c>
      <c r="J7" s="6"/>
    </row>
    <row r="8" spans="1:10" ht="19.5" thickTop="1" thickBot="1" x14ac:dyDescent="0.5">
      <c r="A8" s="8" t="s">
        <v>40</v>
      </c>
      <c r="B8" s="8" t="b">
        <f>ISNUMBER(IndexTbl[[#This Row],[Class]])</f>
        <v>0</v>
      </c>
      <c r="C8" s="8" t="str">
        <f>TRIM(IndexTbl[[#This Row],[Prefix]]&amp;IF(NOT(IndexTbl[[#This Row],[Dewey Number]])," "&amp;IndexTbl[[#This Row],[Class]],""))</f>
        <v>CD BIO</v>
      </c>
      <c r="D8" s="9" t="s">
        <v>138</v>
      </c>
      <c r="E8" s="9" t="s">
        <v>59</v>
      </c>
      <c r="F8" s="9" t="s">
        <v>272</v>
      </c>
      <c r="G8" s="8"/>
      <c r="H8" s="8" t="s">
        <v>140</v>
      </c>
      <c r="I8" s="20" t="str">
        <f ca="1">INDEX(SectionsTbl[Section Description],RANDBETWEEN(1,4))</f>
        <v>Section 2</v>
      </c>
      <c r="J8" s="6"/>
    </row>
    <row r="9" spans="1:10" ht="19.5" thickTop="1" thickBot="1" x14ac:dyDescent="0.5">
      <c r="A9" s="8" t="s">
        <v>49</v>
      </c>
      <c r="B9" s="8" t="b">
        <f>ISNUMBER(IndexTbl[[#This Row],[Class]])</f>
        <v>0</v>
      </c>
      <c r="C9" s="8" t="str">
        <f>TRIM(IndexTbl[[#This Row],[Prefix]]&amp;IF(NOT(IndexTbl[[#This Row],[Dewey Number]])," "&amp;IndexTbl[[#This Row],[Class]],""))</f>
        <v>TEEN BIO</v>
      </c>
      <c r="D9" s="9" t="s">
        <v>206</v>
      </c>
      <c r="E9" s="9" t="s">
        <v>59</v>
      </c>
      <c r="F9" s="9" t="s">
        <v>253</v>
      </c>
      <c r="G9" s="8"/>
      <c r="H9" s="8" t="s">
        <v>49</v>
      </c>
      <c r="I9" s="20" t="str">
        <f ca="1">INDEX(SectionsTbl[Section Description],RANDBETWEEN(1,4))</f>
        <v>Section 2</v>
      </c>
      <c r="J9" s="6"/>
    </row>
    <row r="10" spans="1:10" ht="19.5" thickTop="1" thickBot="1" x14ac:dyDescent="0.5">
      <c r="A10" s="8" t="s">
        <v>4</v>
      </c>
      <c r="B10" s="8" t="b">
        <f>ISNUMBER(IndexTbl[[#This Row],[Class]])</f>
        <v>0</v>
      </c>
      <c r="C10" s="8" t="str">
        <f>TRIM(IndexTbl[[#This Row],[Prefix]]&amp;IF(NOT(IndexTbl[[#This Row],[Dewey Number]])," "&amp;IndexTbl[[#This Row],[Class]],""))</f>
        <v>FIC</v>
      </c>
      <c r="D10" s="9"/>
      <c r="E10" s="9" t="s">
        <v>62</v>
      </c>
      <c r="F10" s="9" t="s">
        <v>268</v>
      </c>
      <c r="G10" s="8"/>
      <c r="H10" s="8" t="s">
        <v>134</v>
      </c>
      <c r="I10" s="20" t="str">
        <f ca="1">INDEX(SectionsTbl[Section Description],RANDBETWEEN(1,4))</f>
        <v>Section 4</v>
      </c>
      <c r="J10" s="6"/>
    </row>
    <row r="11" spans="1:10" ht="19.5" thickTop="1" thickBot="1" x14ac:dyDescent="0.5">
      <c r="A11" s="8" t="s">
        <v>1</v>
      </c>
      <c r="B11" s="8" t="b">
        <f>ISNUMBER(IndexTbl[[#This Row],[Class]])</f>
        <v>0</v>
      </c>
      <c r="C11" s="8" t="str">
        <f>TRIM(IndexTbl[[#This Row],[Prefix]]&amp;IF(NOT(IndexTbl[[#This Row],[Dewey Number]])," "&amp;IndexTbl[[#This Row],[Class]],""))</f>
        <v>FIC</v>
      </c>
      <c r="D11" s="9"/>
      <c r="E11" s="9" t="s">
        <v>62</v>
      </c>
      <c r="F11" s="9" t="s">
        <v>268</v>
      </c>
      <c r="G11" s="8"/>
      <c r="H11" s="8" t="s">
        <v>134</v>
      </c>
      <c r="I11" s="20" t="str">
        <f ca="1">INDEX(SectionsTbl[Section Description],RANDBETWEEN(1,4))</f>
        <v>Section 2</v>
      </c>
      <c r="J11" s="6"/>
    </row>
    <row r="12" spans="1:10" ht="19.5" thickTop="1" thickBot="1" x14ac:dyDescent="0.5">
      <c r="A12" s="8" t="s">
        <v>2</v>
      </c>
      <c r="B12" s="8" t="b">
        <f>ISNUMBER(IndexTbl[[#This Row],[Class]])</f>
        <v>0</v>
      </c>
      <c r="C12" s="8" t="str">
        <f>TRIM(IndexTbl[[#This Row],[Prefix]]&amp;IF(NOT(IndexTbl[[#This Row],[Dewey Number]])," "&amp;IndexTbl[[#This Row],[Class]],""))</f>
        <v>FIC</v>
      </c>
      <c r="D12" s="9"/>
      <c r="E12" s="9" t="s">
        <v>62</v>
      </c>
      <c r="F12" s="9" t="s">
        <v>268</v>
      </c>
      <c r="G12" s="8"/>
      <c r="H12" s="8" t="s">
        <v>134</v>
      </c>
      <c r="I12" s="20" t="str">
        <f ca="1">INDEX(SectionsTbl[Section Description],RANDBETWEEN(1,4))</f>
        <v>Section 2</v>
      </c>
      <c r="J12" s="6"/>
    </row>
    <row r="13" spans="1:10" ht="19.5" thickTop="1" thickBot="1" x14ac:dyDescent="0.5">
      <c r="A13" s="8" t="s">
        <v>24</v>
      </c>
      <c r="B13" s="8" t="b">
        <f>ISNUMBER(IndexTbl[[#This Row],[Class]])</f>
        <v>0</v>
      </c>
      <c r="C13" s="8" t="str">
        <f>TRIM(IndexTbl[[#This Row],[Prefix]]&amp;IF(NOT(IndexTbl[[#This Row],[Dewey Number]])," "&amp;IndexTbl[[#This Row],[Class]],""))</f>
        <v>FIC</v>
      </c>
      <c r="D13" s="9"/>
      <c r="E13" s="9" t="s">
        <v>62</v>
      </c>
      <c r="F13" s="9" t="s">
        <v>268</v>
      </c>
      <c r="G13" s="8"/>
      <c r="H13" s="8" t="s">
        <v>134</v>
      </c>
      <c r="I13" s="20" t="str">
        <f ca="1">INDEX(SectionsTbl[Section Description],RANDBETWEEN(1,4))</f>
        <v>Section 4</v>
      </c>
      <c r="J13" s="6"/>
    </row>
    <row r="14" spans="1:10" ht="19.5" thickTop="1" thickBot="1" x14ac:dyDescent="0.5">
      <c r="A14" s="8" t="s">
        <v>40</v>
      </c>
      <c r="B14" s="8" t="b">
        <f>ISNUMBER(IndexTbl[[#This Row],[Class]])</f>
        <v>0</v>
      </c>
      <c r="C14" s="8" t="str">
        <f>TRIM(IndexTbl[[#This Row],[Prefix]]&amp;IF(NOT(IndexTbl[[#This Row],[Dewey Number]])," "&amp;IndexTbl[[#This Row],[Class]],""))</f>
        <v>CD FIC</v>
      </c>
      <c r="D14" s="9" t="s">
        <v>138</v>
      </c>
      <c r="E14" s="9" t="s">
        <v>62</v>
      </c>
      <c r="F14" s="9" t="s">
        <v>270</v>
      </c>
      <c r="G14" s="8"/>
      <c r="H14" s="8" t="s">
        <v>137</v>
      </c>
      <c r="I14" s="20" t="str">
        <f ca="1">INDEX(SectionsTbl[Section Description],RANDBETWEEN(1,4))</f>
        <v>Section 2</v>
      </c>
      <c r="J14" s="6"/>
    </row>
    <row r="15" spans="1:10" ht="19.5" thickTop="1" thickBot="1" x14ac:dyDescent="0.5">
      <c r="A15" s="3" t="s">
        <v>44</v>
      </c>
      <c r="B15" s="3" t="b">
        <f>ISNUMBER(IndexTbl[[#This Row],[Class]])</f>
        <v>1</v>
      </c>
      <c r="C15" s="8" t="str">
        <f>TRIM(IndexTbl[[#This Row],[Prefix]]&amp;IF(NOT(IndexTbl[[#This Row],[Dewey Number]])," "&amp;IndexTbl[[#This Row],[Class]],""))</f>
        <v>J DVD-ED</v>
      </c>
      <c r="D15" s="4" t="s">
        <v>99</v>
      </c>
      <c r="E15" s="4">
        <v>999.99</v>
      </c>
      <c r="F15" s="4" t="s">
        <v>263</v>
      </c>
      <c r="G15" s="3"/>
      <c r="H15" s="3" t="s">
        <v>98</v>
      </c>
      <c r="I15" s="20" t="str">
        <f ca="1">INDEX(SectionsTbl[Section Description],RANDBETWEEN(1,4))</f>
        <v>Section 1</v>
      </c>
      <c r="J15" s="6"/>
    </row>
    <row r="16" spans="1:10" ht="19.5" thickTop="1" thickBot="1" x14ac:dyDescent="0.5">
      <c r="A16" s="3" t="s">
        <v>45</v>
      </c>
      <c r="B16" s="3" t="b">
        <f>ISNUMBER(IndexTbl[[#This Row],[Class]])</f>
        <v>1</v>
      </c>
      <c r="C16" s="8" t="str">
        <f>TRIM(IndexTbl[[#This Row],[Prefix]]&amp;IF(NOT(IndexTbl[[#This Row],[Dewey Number]])," "&amp;IndexTbl[[#This Row],[Class]],""))</f>
        <v>J LGE-TYPE</v>
      </c>
      <c r="D16" s="4" t="s">
        <v>101</v>
      </c>
      <c r="E16" s="4">
        <v>999.99</v>
      </c>
      <c r="F16" s="4" t="s">
        <v>265</v>
      </c>
      <c r="G16" s="3"/>
      <c r="H16" s="3" t="s">
        <v>102</v>
      </c>
      <c r="I16" s="20" t="str">
        <f ca="1">INDEX(SectionsTbl[Section Description],RANDBETWEEN(1,4))</f>
        <v>Section 1</v>
      </c>
      <c r="J16" s="6"/>
    </row>
    <row r="17" spans="1:10" ht="19.5" thickTop="1" thickBot="1" x14ac:dyDescent="0.5">
      <c r="A17" s="3" t="s">
        <v>41</v>
      </c>
      <c r="B17" s="3" t="b">
        <f>ISNUMBER(IndexTbl[[#This Row],[Class]])</f>
        <v>1</v>
      </c>
      <c r="C17" s="8" t="str">
        <f>TRIM(IndexTbl[[#This Row],[Prefix]]&amp;IF(NOT(IndexTbl[[#This Row],[Dewey Number]])," "&amp;IndexTbl[[#This Row],[Class]],""))</f>
        <v>DVD-ED</v>
      </c>
      <c r="D17" s="4" t="s">
        <v>143</v>
      </c>
      <c r="E17" s="4">
        <v>999.99</v>
      </c>
      <c r="F17" s="4" t="s">
        <v>274</v>
      </c>
      <c r="G17" s="3"/>
      <c r="H17" s="3" t="s">
        <v>142</v>
      </c>
      <c r="I17" s="20" t="str">
        <f ca="1">INDEX(SectionsTbl[Section Description],RANDBETWEEN(1,4))</f>
        <v>Section 2</v>
      </c>
      <c r="J17" s="6"/>
    </row>
    <row r="18" spans="1:10" ht="19.5" thickTop="1" thickBot="1" x14ac:dyDescent="0.5">
      <c r="A18" s="3" t="s">
        <v>50</v>
      </c>
      <c r="B18" s="3" t="b">
        <f>ISNUMBER(IndexTbl[[#This Row],[Class]])</f>
        <v>1</v>
      </c>
      <c r="C18" s="8" t="str">
        <f>TRIM(IndexTbl[[#This Row],[Prefix]]&amp;IF(NOT(IndexTbl[[#This Row],[Dewey Number]])," "&amp;IndexTbl[[#This Row],[Class]],""))</f>
        <v>TEEN LGE-TYPE</v>
      </c>
      <c r="D18" s="4" t="s">
        <v>213</v>
      </c>
      <c r="E18" s="4">
        <v>999.99</v>
      </c>
      <c r="F18" s="4" t="s">
        <v>284</v>
      </c>
      <c r="G18" s="3"/>
      <c r="H18" s="3" t="s">
        <v>214</v>
      </c>
      <c r="I18" s="20" t="str">
        <f ca="1">INDEX(SectionsTbl[Section Description],RANDBETWEEN(1,4))</f>
        <v>Section 4</v>
      </c>
      <c r="J18" s="6"/>
    </row>
    <row r="19" spans="1:10" ht="19.5" thickTop="1" thickBot="1" x14ac:dyDescent="0.5">
      <c r="A19" s="3" t="s">
        <v>45</v>
      </c>
      <c r="B19" s="3" t="b">
        <f>ISNUMBER(IndexTbl[[#This Row],[Class]])</f>
        <v>0</v>
      </c>
      <c r="C19" s="8" t="str">
        <f>TRIM(IndexTbl[[#This Row],[Prefix]]&amp;IF(NOT(IndexTbl[[#This Row],[Dewey Number]])," "&amp;IndexTbl[[#This Row],[Class]],""))</f>
        <v>J LGE-TYPE BIO</v>
      </c>
      <c r="D19" s="4" t="s">
        <v>101</v>
      </c>
      <c r="E19" s="4" t="s">
        <v>59</v>
      </c>
      <c r="F19" s="4" t="s">
        <v>266</v>
      </c>
      <c r="G19" s="3"/>
      <c r="H19" s="3" t="s">
        <v>103</v>
      </c>
      <c r="I19" s="20" t="str">
        <f ca="1">INDEX(SectionsTbl[Section Description],RANDBETWEEN(1,4))</f>
        <v>Section 2</v>
      </c>
      <c r="J19" s="6"/>
    </row>
    <row r="20" spans="1:10" ht="19.5" thickTop="1" thickBot="1" x14ac:dyDescent="0.5">
      <c r="A20" s="3" t="s">
        <v>50</v>
      </c>
      <c r="B20" s="3" t="b">
        <f>ISNUMBER(IndexTbl[[#This Row],[Class]])</f>
        <v>0</v>
      </c>
      <c r="C20" s="8" t="str">
        <f>TRIM(IndexTbl[[#This Row],[Prefix]]&amp;IF(NOT(IndexTbl[[#This Row],[Dewey Number]])," "&amp;IndexTbl[[#This Row],[Class]],""))</f>
        <v>TEEN LGE-TYPE BIO</v>
      </c>
      <c r="D20" s="4" t="s">
        <v>213</v>
      </c>
      <c r="E20" s="4" t="s">
        <v>59</v>
      </c>
      <c r="F20" s="4" t="s">
        <v>285</v>
      </c>
      <c r="G20" s="3"/>
      <c r="H20" s="3" t="s">
        <v>215</v>
      </c>
      <c r="I20" s="20" t="str">
        <f ca="1">INDEX(SectionsTbl[Section Description],RANDBETWEEN(1,4))</f>
        <v>Section 1</v>
      </c>
      <c r="J20" s="6"/>
    </row>
    <row r="21" spans="1:10" ht="19.5" thickTop="1" thickBot="1" x14ac:dyDescent="0.5">
      <c r="A21" s="8" t="s">
        <v>21</v>
      </c>
      <c r="B21" s="8" t="b">
        <f>ISNUMBER(IndexTbl[[#This Row],[Class]])</f>
        <v>0</v>
      </c>
      <c r="C21" s="8" t="str">
        <f>TRIM(IndexTbl[[#This Row],[Prefix]]&amp;IF(NOT(IndexTbl[[#This Row],[Dewey Number]])," "&amp;IndexTbl[[#This Row],[Class]],""))</f>
        <v>TEEN CD FIC</v>
      </c>
      <c r="D21" s="9" t="s">
        <v>209</v>
      </c>
      <c r="E21" s="9" t="s">
        <v>62</v>
      </c>
      <c r="F21" s="9" t="s">
        <v>281</v>
      </c>
      <c r="G21" s="8"/>
      <c r="H21" s="8" t="s">
        <v>208</v>
      </c>
      <c r="I21" s="20" t="str">
        <f ca="1">INDEX(SectionsTbl[Section Description],RANDBETWEEN(1,4))</f>
        <v>Section 1</v>
      </c>
      <c r="J21" s="6"/>
    </row>
    <row r="22" spans="1:10" ht="19.5" thickTop="1" thickBot="1" x14ac:dyDescent="0.5">
      <c r="A22" s="8" t="s">
        <v>21</v>
      </c>
      <c r="B22" s="8" t="b">
        <f>ISNUMBER(IndexTbl[[#This Row],[Class]])</f>
        <v>1</v>
      </c>
      <c r="C22" s="8" t="str">
        <f>TRIM(IndexTbl[[#This Row],[Prefix]]&amp;IF(NOT(IndexTbl[[#This Row],[Dewey Number]])," "&amp;IndexTbl[[#This Row],[Class]],""))</f>
        <v>TEEN CD</v>
      </c>
      <c r="D22" s="9" t="s">
        <v>209</v>
      </c>
      <c r="E22" s="9">
        <v>999.99</v>
      </c>
      <c r="F22" s="9" t="s">
        <v>282</v>
      </c>
      <c r="G22" s="8"/>
      <c r="H22" s="8" t="s">
        <v>210</v>
      </c>
      <c r="I22" s="20" t="str">
        <f ca="1">INDEX(SectionsTbl[Section Description],RANDBETWEEN(1,4))</f>
        <v>Section 1</v>
      </c>
      <c r="J22" s="6"/>
    </row>
    <row r="23" spans="1:10" ht="19.5" thickTop="1" thickBot="1" x14ac:dyDescent="0.5">
      <c r="A23" s="8" t="s">
        <v>21</v>
      </c>
      <c r="B23" s="8" t="b">
        <f>ISNUMBER(IndexTbl[[#This Row],[Class]])</f>
        <v>0</v>
      </c>
      <c r="C23" s="8" t="str">
        <f>TRIM(IndexTbl[[#This Row],[Prefix]]&amp;IF(NOT(IndexTbl[[#This Row],[Dewey Number]])," "&amp;IndexTbl[[#This Row],[Class]],""))</f>
        <v>TEEN CD BIO</v>
      </c>
      <c r="D23" s="9" t="s">
        <v>209</v>
      </c>
      <c r="E23" s="9" t="s">
        <v>59</v>
      </c>
      <c r="F23" s="9" t="s">
        <v>283</v>
      </c>
      <c r="G23" s="8"/>
      <c r="H23" s="8" t="s">
        <v>211</v>
      </c>
      <c r="I23" s="20" t="str">
        <f ca="1">INDEX(SectionsTbl[Section Description],RANDBETWEEN(1,4))</f>
        <v>Section 4</v>
      </c>
      <c r="J23" s="6"/>
    </row>
    <row r="24" spans="1:10" ht="19.5" thickTop="1" thickBot="1" x14ac:dyDescent="0.5">
      <c r="A24" s="8" t="s">
        <v>22</v>
      </c>
      <c r="B24" s="8" t="b">
        <f>ISNUMBER(IndexTbl[[#This Row],[Class]])</f>
        <v>0</v>
      </c>
      <c r="C24" s="8" t="str">
        <f>TRIM(IndexTbl[[#This Row],[Prefix]]&amp;IF(NOT(IndexTbl[[#This Row],[Dewey Number]])," "&amp;IndexTbl[[#This Row],[Class]],""))</f>
        <v>TEEN</v>
      </c>
      <c r="D24" s="9" t="s">
        <v>206</v>
      </c>
      <c r="E24" s="9"/>
      <c r="F24" s="9" t="s">
        <v>279</v>
      </c>
      <c r="G24" s="8"/>
      <c r="H24" s="8" t="s">
        <v>22</v>
      </c>
      <c r="I24" s="20" t="str">
        <f ca="1">INDEX(SectionsTbl[Section Description],RANDBETWEEN(1,4))</f>
        <v>Section 4</v>
      </c>
      <c r="J24" s="6"/>
    </row>
    <row r="25" spans="1:10" ht="19.5" thickTop="1" thickBot="1" x14ac:dyDescent="0.5">
      <c r="A25" s="3" t="s">
        <v>23</v>
      </c>
      <c r="B25" s="3" t="b">
        <f>ISNUMBER(IndexTbl[[#This Row],[Class]])</f>
        <v>0</v>
      </c>
      <c r="C25" s="8" t="str">
        <f>TRIM(IndexTbl[[#This Row],[Prefix]]&amp;IF(NOT(IndexTbl[[#This Row],[Dewey Number]])," "&amp;IndexTbl[[#This Row],[Class]],""))</f>
        <v>LGE-TYPE</v>
      </c>
      <c r="D25" s="4" t="s">
        <v>145</v>
      </c>
      <c r="E25" s="4"/>
      <c r="F25" s="4" t="s">
        <v>275</v>
      </c>
      <c r="G25" s="3"/>
      <c r="H25" s="3" t="s">
        <v>144</v>
      </c>
      <c r="I25" s="20" t="str">
        <f ca="1">INDEX(SectionsTbl[Section Description],RANDBETWEEN(1,4))</f>
        <v>Section 3</v>
      </c>
      <c r="J25" s="6"/>
    </row>
    <row r="26" spans="1:10" ht="19.5" thickTop="1" thickBot="1" x14ac:dyDescent="0.5">
      <c r="A26" s="3" t="s">
        <v>23</v>
      </c>
      <c r="B26" s="3" t="b">
        <f>ISNUMBER(IndexTbl[[#This Row],[Class]])</f>
        <v>1</v>
      </c>
      <c r="C26" s="8" t="str">
        <f>TRIM(IndexTbl[[#This Row],[Prefix]]&amp;IF(NOT(IndexTbl[[#This Row],[Dewey Number]])," "&amp;IndexTbl[[#This Row],[Class]],""))</f>
        <v>LGE-TYPE</v>
      </c>
      <c r="D26" s="4" t="s">
        <v>145</v>
      </c>
      <c r="E26" s="4">
        <v>999.99</v>
      </c>
      <c r="F26" s="4" t="s">
        <v>276</v>
      </c>
      <c r="G26" s="3"/>
      <c r="H26" s="3" t="s">
        <v>146</v>
      </c>
      <c r="I26" s="20" t="str">
        <f ca="1">INDEX(SectionsTbl[Section Description],RANDBETWEEN(1,4))</f>
        <v>Section 3</v>
      </c>
      <c r="J26" s="6"/>
    </row>
    <row r="27" spans="1:10" ht="19.5" thickTop="1" thickBot="1" x14ac:dyDescent="0.5">
      <c r="A27" s="3" t="s">
        <v>23</v>
      </c>
      <c r="B27" s="3" t="b">
        <f>ISNUMBER(IndexTbl[[#This Row],[Class]])</f>
        <v>0</v>
      </c>
      <c r="C27" s="8" t="str">
        <f>TRIM(IndexTbl[[#This Row],[Prefix]]&amp;IF(NOT(IndexTbl[[#This Row],[Dewey Number]])," "&amp;IndexTbl[[#This Row],[Class]],""))</f>
        <v>LGE-TYPE BIO</v>
      </c>
      <c r="D27" s="4" t="s">
        <v>145</v>
      </c>
      <c r="E27" s="4" t="s">
        <v>59</v>
      </c>
      <c r="F27" s="4" t="s">
        <v>266</v>
      </c>
      <c r="G27" s="3"/>
      <c r="H27" s="3" t="s">
        <v>147</v>
      </c>
      <c r="I27" s="20" t="str">
        <f ca="1">INDEX(SectionsTbl[Section Description],RANDBETWEEN(1,4))</f>
        <v>Section 3</v>
      </c>
      <c r="J27" s="6"/>
    </row>
    <row r="28" spans="1:10" ht="19.5" thickTop="1" thickBot="1" x14ac:dyDescent="0.5">
      <c r="A28" s="3" t="s">
        <v>45</v>
      </c>
      <c r="B28" s="3" t="b">
        <f>ISNUMBER(IndexTbl[[#This Row],[Class]])</f>
        <v>0</v>
      </c>
      <c r="C28" s="8" t="str">
        <f>TRIM(IndexTbl[[#This Row],[Prefix]]&amp;IF(NOT(IndexTbl[[#This Row],[Dewey Number]])," "&amp;IndexTbl[[#This Row],[Class]],""))</f>
        <v>J LGE-TYPE</v>
      </c>
      <c r="D28" s="4" t="s">
        <v>101</v>
      </c>
      <c r="E28" s="4"/>
      <c r="F28" s="4" t="s">
        <v>264</v>
      </c>
      <c r="G28" s="3"/>
      <c r="H28" s="3" t="s">
        <v>100</v>
      </c>
      <c r="I28" s="20" t="str">
        <f ca="1">INDEX(SectionsTbl[Section Description],RANDBETWEEN(1,4))</f>
        <v>Section 3</v>
      </c>
      <c r="J28" s="6"/>
    </row>
    <row r="29" spans="1:10" ht="19.5" thickTop="1" thickBot="1" x14ac:dyDescent="0.5">
      <c r="A29" s="3" t="s">
        <v>50</v>
      </c>
      <c r="B29" s="3" t="b">
        <f>ISNUMBER(IndexTbl[[#This Row],[Class]])</f>
        <v>0</v>
      </c>
      <c r="C29" s="8" t="str">
        <f>TRIM(IndexTbl[[#This Row],[Prefix]]&amp;IF(NOT(IndexTbl[[#This Row],[Dewey Number]])," "&amp;IndexTbl[[#This Row],[Class]],""))</f>
        <v>TEEN LGE-TYPE</v>
      </c>
      <c r="D29" s="4" t="s">
        <v>213</v>
      </c>
      <c r="E29" s="4"/>
      <c r="F29" s="4" t="s">
        <v>275</v>
      </c>
      <c r="G29" s="3"/>
      <c r="H29" s="3" t="s">
        <v>212</v>
      </c>
      <c r="I29" s="20" t="str">
        <f ca="1">INDEX(SectionsTbl[Section Description],RANDBETWEEN(1,4))</f>
        <v>Section 4</v>
      </c>
      <c r="J29" s="6"/>
    </row>
    <row r="30" spans="1:10" ht="19.5" thickTop="1" thickBot="1" x14ac:dyDescent="0.5">
      <c r="A30" s="8" t="s">
        <v>25</v>
      </c>
      <c r="B30" s="8" t="b">
        <f>ISNUMBER(IndexTbl[[#This Row],[Class]])</f>
        <v>0</v>
      </c>
      <c r="C30" s="8" t="str">
        <f>TRIM(IndexTbl[[#This Row],[Prefix]]&amp;IF(NOT(IndexTbl[[#This Row],[Dewey Number]])," "&amp;IndexTbl[[#This Row],[Class]],""))</f>
        <v>J</v>
      </c>
      <c r="D30" s="9" t="s">
        <v>88</v>
      </c>
      <c r="E30" s="9"/>
      <c r="F30" s="9" t="s">
        <v>258</v>
      </c>
      <c r="G30" s="8"/>
      <c r="H30" s="8" t="s">
        <v>87</v>
      </c>
      <c r="I30" s="20" t="str">
        <f ca="1">INDEX(SectionsTbl[Section Description],RANDBETWEEN(1,4))</f>
        <v>Section 1</v>
      </c>
      <c r="J30" s="6"/>
    </row>
    <row r="31" spans="1:10" ht="19.5" thickTop="1" thickBot="1" x14ac:dyDescent="0.5">
      <c r="A31" s="8" t="s">
        <v>25</v>
      </c>
      <c r="B31" s="8" t="b">
        <f>ISNUMBER(IndexTbl[[#This Row],[Class]])</f>
        <v>0</v>
      </c>
      <c r="C31" s="8" t="str">
        <f>TRIM(IndexTbl[[#This Row],[Prefix]]&amp;IF(NOT(IndexTbl[[#This Row],[Dewey Number]])," "&amp;IndexTbl[[#This Row],[Class]],""))</f>
        <v>J SERIES</v>
      </c>
      <c r="D31" s="9" t="s">
        <v>53</v>
      </c>
      <c r="E31" s="9" t="s">
        <v>90</v>
      </c>
      <c r="F31" s="9" t="s">
        <v>298</v>
      </c>
      <c r="G31" s="8"/>
      <c r="H31" s="8" t="s">
        <v>89</v>
      </c>
      <c r="I31" s="20" t="str">
        <f ca="1">INDEX(SectionsTbl[Section Description],RANDBETWEEN(1,4))</f>
        <v>Section 2</v>
      </c>
      <c r="J31" s="6"/>
    </row>
    <row r="32" spans="1:10" ht="19.5" thickTop="1" thickBot="1" x14ac:dyDescent="0.5">
      <c r="A32" s="8" t="s">
        <v>38</v>
      </c>
      <c r="B32" s="8" t="b">
        <f>ISNUMBER(IndexTbl[[#This Row],[Class]])</f>
        <v>0</v>
      </c>
      <c r="C32" s="8" t="str">
        <f>TRIM(IndexTbl[[#This Row],[Prefix]]&amp;IF(NOT(IndexTbl[[#This Row],[Dewey Number]])," "&amp;IndexTbl[[#This Row],[Class]],""))</f>
        <v>J CD FIC</v>
      </c>
      <c r="D32" s="9" t="s">
        <v>93</v>
      </c>
      <c r="E32" s="9" t="s">
        <v>62</v>
      </c>
      <c r="F32" s="9" t="s">
        <v>259</v>
      </c>
      <c r="G32" s="8"/>
      <c r="H32" s="8" t="s">
        <v>92</v>
      </c>
      <c r="I32" s="20" t="str">
        <f ca="1">INDEX(SectionsTbl[Section Description],RANDBETWEEN(1,4))</f>
        <v>Section 3</v>
      </c>
      <c r="J32" s="6"/>
    </row>
    <row r="33" spans="1:10" ht="19.5" thickTop="1" thickBot="1" x14ac:dyDescent="0.5">
      <c r="A33" s="8" t="s">
        <v>38</v>
      </c>
      <c r="B33" s="8" t="b">
        <f>ISNUMBER(IndexTbl[[#This Row],[Class]])</f>
        <v>1</v>
      </c>
      <c r="C33" s="8" t="str">
        <f>TRIM(IndexTbl[[#This Row],[Prefix]]&amp;IF(NOT(IndexTbl[[#This Row],[Dewey Number]])," "&amp;IndexTbl[[#This Row],[Class]],""))</f>
        <v>J CD</v>
      </c>
      <c r="D33" s="9" t="s">
        <v>93</v>
      </c>
      <c r="E33" s="9">
        <v>999.99</v>
      </c>
      <c r="F33" s="9" t="s">
        <v>260</v>
      </c>
      <c r="G33" s="8"/>
      <c r="H33" s="8" t="s">
        <v>94</v>
      </c>
      <c r="I33" s="20" t="str">
        <f ca="1">INDEX(SectionsTbl[Section Description],RANDBETWEEN(1,4))</f>
        <v>Section 2</v>
      </c>
      <c r="J33" s="6"/>
    </row>
    <row r="34" spans="1:10" ht="19.5" thickTop="1" thickBot="1" x14ac:dyDescent="0.5">
      <c r="A34" s="8" t="s">
        <v>38</v>
      </c>
      <c r="B34" s="8" t="b">
        <f>ISNUMBER(IndexTbl[[#This Row],[Class]])</f>
        <v>0</v>
      </c>
      <c r="C34" s="8" t="str">
        <f>TRIM(IndexTbl[[#This Row],[Prefix]]&amp;IF(NOT(IndexTbl[[#This Row],[Dewey Number]])," "&amp;IndexTbl[[#This Row],[Class]],""))</f>
        <v>J CD BIO</v>
      </c>
      <c r="D34" s="9" t="s">
        <v>93</v>
      </c>
      <c r="E34" s="9" t="s">
        <v>59</v>
      </c>
      <c r="F34" s="9" t="s">
        <v>261</v>
      </c>
      <c r="G34" s="8"/>
      <c r="H34" s="8" t="s">
        <v>95</v>
      </c>
      <c r="I34" s="20" t="str">
        <f ca="1">INDEX(SectionsTbl[Section Description],RANDBETWEEN(1,4))</f>
        <v>Section 3</v>
      </c>
      <c r="J34" s="6"/>
    </row>
    <row r="35" spans="1:10" ht="19.5" thickTop="1" thickBot="1" x14ac:dyDescent="0.5">
      <c r="A35" s="3" t="s">
        <v>26</v>
      </c>
      <c r="B35" s="3" t="b">
        <f>ISNUMBER(IndexTbl[[#This Row],[Class]])</f>
        <v>0</v>
      </c>
      <c r="C35" s="8" t="str">
        <f>TRIM(IndexTbl[[#This Row],[Prefix]]&amp;IF(NOT(IndexTbl[[#This Row],[Dewey Number]])," "&amp;IndexTbl[[#This Row],[Class]],""))</f>
        <v>J DVD</v>
      </c>
      <c r="D35" s="4" t="s">
        <v>97</v>
      </c>
      <c r="E35" s="4"/>
      <c r="F35" s="4" t="s">
        <v>262</v>
      </c>
      <c r="G35" s="3"/>
      <c r="H35" s="3" t="s">
        <v>96</v>
      </c>
      <c r="I35" s="20" t="str">
        <f ca="1">INDEX(SectionsTbl[Section Description],RANDBETWEEN(1,4))</f>
        <v>Section 1</v>
      </c>
      <c r="J35" s="6"/>
    </row>
    <row r="36" spans="1:10" ht="19.5" thickTop="1" thickBot="1" x14ac:dyDescent="0.5">
      <c r="A36" s="3" t="s">
        <v>27</v>
      </c>
      <c r="B36" s="3" t="b">
        <f>ISNUMBER(IndexTbl[[#This Row],[Class]])</f>
        <v>0</v>
      </c>
      <c r="C36" s="8" t="str">
        <f>TRIM(IndexTbl[[#This Row],[Prefix]]&amp;IF(NOT(IndexTbl[[#This Row],[Dewey Number]])," "&amp;IndexTbl[[#This Row],[Class]],""))</f>
        <v>J CD OH</v>
      </c>
      <c r="D36" s="4" t="s">
        <v>93</v>
      </c>
      <c r="E36" s="4" t="s">
        <v>130</v>
      </c>
      <c r="F36" s="4" t="s">
        <v>267</v>
      </c>
      <c r="G36" s="3"/>
      <c r="H36" s="3" t="s">
        <v>129</v>
      </c>
      <c r="I36" s="20" t="str">
        <f ca="1">INDEX(SectionsTbl[Section Description],RANDBETWEEN(1,4))</f>
        <v>Section 3</v>
      </c>
      <c r="J36" s="6"/>
    </row>
    <row r="37" spans="1:10" ht="19.5" thickTop="1" thickBot="1" x14ac:dyDescent="0.5">
      <c r="A37" s="3" t="s">
        <v>27</v>
      </c>
      <c r="B37" s="3" t="b">
        <f>ISNUMBER(IndexTbl[[#This Row],[Class]])</f>
        <v>0</v>
      </c>
      <c r="C37" s="8" t="str">
        <f>TRIM(IndexTbl[[#This Row],[Prefix]]&amp;IF(NOT(IndexTbl[[#This Row],[Dewey Number]])," "&amp;IndexTbl[[#This Row],[Class]],""))</f>
        <v>J CD OM</v>
      </c>
      <c r="D37" s="4" t="s">
        <v>93</v>
      </c>
      <c r="E37" s="4" t="s">
        <v>131</v>
      </c>
      <c r="F37" s="4" t="s">
        <v>267</v>
      </c>
      <c r="G37" s="3"/>
      <c r="H37" s="3" t="s">
        <v>129</v>
      </c>
      <c r="I37" s="20" t="str">
        <f ca="1">INDEX(SectionsTbl[Section Description],RANDBETWEEN(1,4))</f>
        <v>Section 1</v>
      </c>
      <c r="J37" s="6"/>
    </row>
    <row r="38" spans="1:10" ht="19.5" thickTop="1" thickBot="1" x14ac:dyDescent="0.5">
      <c r="A38" s="8" t="s">
        <v>28</v>
      </c>
      <c r="B38" s="8" t="b">
        <f>ISNUMBER(IndexTbl[[#This Row],[Class]])</f>
        <v>0</v>
      </c>
      <c r="C38" s="8" t="str">
        <f>TRIM(IndexTbl[[#This Row],[Prefix]]&amp;IF(NOT(IndexTbl[[#This Row],[Dewey Number]])," "&amp;IndexTbl[[#This Row],[Class]],""))</f>
        <v>E</v>
      </c>
      <c r="D38" s="9" t="s">
        <v>54</v>
      </c>
      <c r="E38" s="9"/>
      <c r="F38" s="9" t="s">
        <v>250</v>
      </c>
      <c r="G38" s="8"/>
      <c r="H38" s="8" t="s">
        <v>288</v>
      </c>
      <c r="I38" s="20" t="str">
        <f ca="1">INDEX(SectionsTbl[Section Description],RANDBETWEEN(1,4))</f>
        <v>Section 2</v>
      </c>
      <c r="J38" s="6"/>
    </row>
    <row r="39" spans="1:10" ht="19.5" thickTop="1" thickBot="1" x14ac:dyDescent="0.5">
      <c r="A39" s="14" t="s">
        <v>0</v>
      </c>
      <c r="B39" s="14" t="b">
        <f>ISNUMBER(IndexTbl[[#This Row],[Class]])</f>
        <v>0</v>
      </c>
      <c r="C39" s="8" t="str">
        <f>TRIM(IndexTbl[[#This Row],[Prefix]]&amp;IF(NOT(IndexTbl[[#This Row],[Dewey Number]])," "&amp;IndexTbl[[#This Row],[Class]],""))</f>
        <v>E</v>
      </c>
      <c r="D39" s="9" t="s">
        <v>54</v>
      </c>
      <c r="E39" s="9"/>
      <c r="F39" s="9" t="s">
        <v>250</v>
      </c>
      <c r="G39" s="14"/>
      <c r="H39" s="14" t="s">
        <v>299</v>
      </c>
      <c r="I39" s="20" t="str">
        <f ca="1">INDEX(SectionsTbl[Section Description],RANDBETWEEN(1,4))</f>
        <v>Section 3</v>
      </c>
      <c r="J39" s="6"/>
    </row>
    <row r="40" spans="1:10" ht="19.5" thickTop="1" thickBot="1" x14ac:dyDescent="0.5">
      <c r="A40" s="8" t="s">
        <v>29</v>
      </c>
      <c r="B40" s="8" t="b">
        <f>ISNUMBER(IndexTbl[[#This Row],[Class]])</f>
        <v>0</v>
      </c>
      <c r="C40" s="8" t="str">
        <f>TRIM(IndexTbl[[#This Row],[Prefix]]&amp;IF(NOT(IndexTbl[[#This Row],[Dewey Number]])," "&amp;IndexTbl[[#This Row],[Class]],""))</f>
        <v>E</v>
      </c>
      <c r="D40" s="9" t="s">
        <v>54</v>
      </c>
      <c r="E40" s="9"/>
      <c r="F40" s="9" t="s">
        <v>250</v>
      </c>
      <c r="G40" s="8"/>
      <c r="H40" s="8" t="s">
        <v>249</v>
      </c>
      <c r="I40" s="20" t="str">
        <f ca="1">INDEX(SectionsTbl[Section Description],RANDBETWEEN(1,4))</f>
        <v>Section 3</v>
      </c>
      <c r="J40" s="6"/>
    </row>
    <row r="41" spans="1:10" ht="19.5" thickTop="1" thickBot="1" x14ac:dyDescent="0.5">
      <c r="A41" s="8" t="s">
        <v>29</v>
      </c>
      <c r="B41" s="8" t="b">
        <f>ISNUMBER(IndexTbl[[#This Row],[Class]])</f>
        <v>0</v>
      </c>
      <c r="C41" s="8" t="str">
        <f>TRIM(IndexTbl[[#This Row],[Prefix]]&amp;IF(NOT(IndexTbl[[#This Row],[Dewey Number]])," "&amp;IndexTbl[[#This Row],[Class]],""))</f>
        <v>E BOARD</v>
      </c>
      <c r="D41" s="9" t="s">
        <v>54</v>
      </c>
      <c r="E41" s="9" t="s">
        <v>56</v>
      </c>
      <c r="F41" s="9" t="s">
        <v>251</v>
      </c>
      <c r="G41" s="8"/>
      <c r="H41" s="8" t="s">
        <v>55</v>
      </c>
      <c r="I41" s="20" t="str">
        <f ca="1">INDEX(SectionsTbl[Section Description],RANDBETWEEN(1,4))</f>
        <v>Section 2</v>
      </c>
      <c r="J41" s="6"/>
    </row>
    <row r="42" spans="1:10" ht="19.5" thickTop="1" thickBot="1" x14ac:dyDescent="0.5">
      <c r="A42" s="8" t="s">
        <v>28</v>
      </c>
      <c r="B42" s="8" t="b">
        <f>ISNUMBER(IndexTbl[[#This Row],[Class]])</f>
        <v>1</v>
      </c>
      <c r="C42" s="8" t="str">
        <f>TRIM(IndexTbl[[#This Row],[Prefix]]&amp;IF(NOT(IndexTbl[[#This Row],[Dewey Number]])," "&amp;IndexTbl[[#This Row],[Class]],""))</f>
        <v>E</v>
      </c>
      <c r="D42" s="9" t="s">
        <v>54</v>
      </c>
      <c r="E42" s="9">
        <v>999.99</v>
      </c>
      <c r="F42" s="9" t="s">
        <v>290</v>
      </c>
      <c r="G42" s="8"/>
      <c r="H42" s="8" t="s">
        <v>289</v>
      </c>
      <c r="I42" s="20" t="str">
        <f ca="1">INDEX(SectionsTbl[Section Description],RANDBETWEEN(1,4))</f>
        <v>Section 4</v>
      </c>
      <c r="J42" s="6"/>
    </row>
    <row r="43" spans="1:10" ht="19.5" thickTop="1" thickBot="1" x14ac:dyDescent="0.5">
      <c r="A43" s="14" t="s">
        <v>0</v>
      </c>
      <c r="B43" s="14" t="b">
        <f>ISNUMBER(IndexTbl[[#This Row],[Class]])</f>
        <v>1</v>
      </c>
      <c r="C43" s="8" t="str">
        <f>TRIM(IndexTbl[[#This Row],[Prefix]]&amp;IF(NOT(IndexTbl[[#This Row],[Dewey Number]])," "&amp;IndexTbl[[#This Row],[Class]],""))</f>
        <v>E</v>
      </c>
      <c r="D43" s="9" t="s">
        <v>54</v>
      </c>
      <c r="E43" s="9">
        <v>999.99</v>
      </c>
      <c r="F43" s="15"/>
      <c r="G43" s="14"/>
      <c r="H43" s="14" t="s">
        <v>300</v>
      </c>
      <c r="I43" s="20" t="str">
        <f ca="1">INDEX(SectionsTbl[Section Description],RANDBETWEEN(1,4))</f>
        <v>Section 2</v>
      </c>
      <c r="J43" s="6"/>
    </row>
    <row r="44" spans="1:10" ht="19.5" thickTop="1" thickBot="1" x14ac:dyDescent="0.5">
      <c r="A44" s="8" t="s">
        <v>42</v>
      </c>
      <c r="B44" s="8" t="b">
        <f>ISNUMBER(IndexTbl[[#This Row],[Class]])</f>
        <v>1</v>
      </c>
      <c r="C44" s="8" t="str">
        <f>TRIM(IndexTbl[[#This Row],[Prefix]]&amp;IF(NOT(IndexTbl[[#This Row],[Dewey Number]])," "&amp;IndexTbl[[#This Row],[Class]],""))</f>
        <v>E</v>
      </c>
      <c r="D44" s="9" t="s">
        <v>54</v>
      </c>
      <c r="E44" s="9">
        <v>999.99</v>
      </c>
      <c r="F44" s="9" t="s">
        <v>252</v>
      </c>
      <c r="G44" s="8"/>
      <c r="H44" s="8" t="s">
        <v>42</v>
      </c>
      <c r="I44" s="20" t="str">
        <f ca="1">INDEX(SectionsTbl[Section Description],RANDBETWEEN(1,4))</f>
        <v>Section 3</v>
      </c>
      <c r="J44" s="6"/>
    </row>
    <row r="45" spans="1:10" ht="19.5" thickTop="1" thickBot="1" x14ac:dyDescent="0.5">
      <c r="A45" s="8" t="s">
        <v>42</v>
      </c>
      <c r="B45" s="8" t="b">
        <f>ISNUMBER(IndexTbl[[#This Row],[Class]])</f>
        <v>0</v>
      </c>
      <c r="C45" s="8" t="str">
        <f>TRIM(IndexTbl[[#This Row],[Prefix]]&amp;IF(NOT(IndexTbl[[#This Row],[Dewey Number]])," "&amp;IndexTbl[[#This Row],[Class]],""))</f>
        <v>E BIO</v>
      </c>
      <c r="D45" s="9" t="s">
        <v>58</v>
      </c>
      <c r="E45" s="9" t="s">
        <v>59</v>
      </c>
      <c r="F45" s="9" t="s">
        <v>253</v>
      </c>
      <c r="G45" s="8"/>
      <c r="H45" s="8" t="s">
        <v>57</v>
      </c>
      <c r="I45" s="20" t="str">
        <f ca="1">INDEX(SectionsTbl[Section Description],RANDBETWEEN(1,4))</f>
        <v>Section 4</v>
      </c>
      <c r="J45" s="6"/>
    </row>
    <row r="46" spans="1:10" ht="19.5" thickTop="1" thickBot="1" x14ac:dyDescent="0.5">
      <c r="A46" s="8" t="s">
        <v>30</v>
      </c>
      <c r="B46" s="8" t="b">
        <f>ISNUMBER(IndexTbl[[#This Row],[Class]])</f>
        <v>0</v>
      </c>
      <c r="C46" s="8" t="str">
        <f>TRIM(IndexTbl[[#This Row],[Prefix]]&amp;IF(NOT(IndexTbl[[#This Row],[Dewey Number]])," "&amp;IndexTbl[[#This Row],[Class]],""))</f>
        <v>E CD FIC</v>
      </c>
      <c r="D46" s="9" t="s">
        <v>61</v>
      </c>
      <c r="E46" s="9" t="s">
        <v>62</v>
      </c>
      <c r="F46" s="9" t="s">
        <v>254</v>
      </c>
      <c r="G46" s="8"/>
      <c r="H46" s="8" t="s">
        <v>60</v>
      </c>
      <c r="I46" s="20" t="str">
        <f ca="1">INDEX(SectionsTbl[Section Description],RANDBETWEEN(1,4))</f>
        <v>Section 4</v>
      </c>
      <c r="J46" s="6"/>
    </row>
    <row r="47" spans="1:10" ht="19.5" thickTop="1" thickBot="1" x14ac:dyDescent="0.5">
      <c r="A47" s="8" t="s">
        <v>30</v>
      </c>
      <c r="B47" s="8" t="b">
        <f>ISNUMBER(IndexTbl[[#This Row],[Class]])</f>
        <v>1</v>
      </c>
      <c r="C47" s="8" t="str">
        <f>TRIM(IndexTbl[[#This Row],[Prefix]]&amp;IF(NOT(IndexTbl[[#This Row],[Dewey Number]])," "&amp;IndexTbl[[#This Row],[Class]],""))</f>
        <v>E CD</v>
      </c>
      <c r="D47" s="9" t="s">
        <v>61</v>
      </c>
      <c r="E47" s="9">
        <v>999.99</v>
      </c>
      <c r="F47" s="9" t="s">
        <v>255</v>
      </c>
      <c r="G47" s="8"/>
      <c r="H47" s="8" t="s">
        <v>63</v>
      </c>
      <c r="I47" s="20" t="str">
        <f ca="1">INDEX(SectionsTbl[Section Description],RANDBETWEEN(1,4))</f>
        <v>Section 2</v>
      </c>
      <c r="J47" s="6"/>
    </row>
    <row r="48" spans="1:10" ht="19.5" thickTop="1" thickBot="1" x14ac:dyDescent="0.5">
      <c r="A48" s="8" t="s">
        <v>30</v>
      </c>
      <c r="B48" s="8" t="b">
        <f>ISNUMBER(IndexTbl[[#This Row],[Class]])</f>
        <v>0</v>
      </c>
      <c r="C48" s="8" t="str">
        <f>TRIM(IndexTbl[[#This Row],[Prefix]]&amp;IF(NOT(IndexTbl[[#This Row],[Dewey Number]])," "&amp;IndexTbl[[#This Row],[Class]],""))</f>
        <v>E CD BIO</v>
      </c>
      <c r="D48" s="9" t="s">
        <v>61</v>
      </c>
      <c r="E48" s="9" t="s">
        <v>59</v>
      </c>
      <c r="F48" s="9" t="s">
        <v>256</v>
      </c>
      <c r="G48" s="8"/>
      <c r="H48" s="8" t="s">
        <v>64</v>
      </c>
      <c r="I48" s="20" t="str">
        <f ca="1">INDEX(SectionsTbl[Section Description],RANDBETWEEN(1,4))</f>
        <v>Section 4</v>
      </c>
      <c r="J48" s="6"/>
    </row>
    <row r="49" spans="1:10" ht="19.5" thickTop="1" thickBot="1" x14ac:dyDescent="0.5">
      <c r="A49" s="3" t="s">
        <v>31</v>
      </c>
      <c r="B49" s="3" t="b">
        <f>ISNUMBER(IndexTbl[[#This Row],[Class]])</f>
        <v>0</v>
      </c>
      <c r="C49" s="8" t="str">
        <f>TRIM(IndexTbl[[#This Row],[Prefix]]&amp;IF(NOT(IndexTbl[[#This Row],[Dewey Number]])," "&amp;IndexTbl[[#This Row],[Class]],""))</f>
        <v>E INTL-CHI</v>
      </c>
      <c r="D49" s="4" t="s">
        <v>70</v>
      </c>
      <c r="E49" s="4"/>
      <c r="F49" s="4" t="s">
        <v>257</v>
      </c>
      <c r="G49" s="3"/>
      <c r="H49" s="3" t="s">
        <v>69</v>
      </c>
      <c r="I49" s="20" t="str">
        <f ca="1">INDEX(SectionsTbl[Section Description],RANDBETWEEN(1,4))</f>
        <v>Section 1</v>
      </c>
      <c r="J49" s="6"/>
    </row>
    <row r="50" spans="1:10" ht="19.5" thickTop="1" thickBot="1" x14ac:dyDescent="0.5">
      <c r="A50" s="3" t="s">
        <v>31</v>
      </c>
      <c r="B50" s="3" t="b">
        <f>ISNUMBER(IndexTbl[[#This Row],[Class]])</f>
        <v>1</v>
      </c>
      <c r="C50" s="8" t="str">
        <f>TRIM(IndexTbl[[#This Row],[Prefix]]&amp;IF(NOT(IndexTbl[[#This Row],[Dewey Number]])," "&amp;IndexTbl[[#This Row],[Class]],""))</f>
        <v>E INTL-CHI</v>
      </c>
      <c r="D50" s="4" t="s">
        <v>80</v>
      </c>
      <c r="E50" s="4">
        <v>999.99</v>
      </c>
      <c r="F50" s="4" t="s">
        <v>252</v>
      </c>
      <c r="G50" s="3"/>
      <c r="H50" s="3" t="s">
        <v>79</v>
      </c>
      <c r="I50" s="20" t="str">
        <f ca="1">INDEX(SectionsTbl[Section Description],RANDBETWEEN(1,4))</f>
        <v>Section 1</v>
      </c>
      <c r="J50" s="6"/>
    </row>
    <row r="51" spans="1:10" ht="19.5" thickTop="1" thickBot="1" x14ac:dyDescent="0.5">
      <c r="A51" s="3" t="s">
        <v>31</v>
      </c>
      <c r="B51" s="3" t="b">
        <f>ISNUMBER(IndexTbl[[#This Row],[Class]])</f>
        <v>0</v>
      </c>
      <c r="C51" s="8" t="str">
        <f>TRIM(IndexTbl[[#This Row],[Prefix]]&amp;IF(NOT(IndexTbl[[#This Row],[Dewey Number]])," "&amp;IndexTbl[[#This Row],[Class]],""))</f>
        <v>J INTL-CHI</v>
      </c>
      <c r="D51" s="4" t="s">
        <v>110</v>
      </c>
      <c r="E51" s="4"/>
      <c r="F51" s="4" t="s">
        <v>258</v>
      </c>
      <c r="G51" s="3"/>
      <c r="H51" s="3" t="s">
        <v>109</v>
      </c>
      <c r="I51" s="20" t="str">
        <f ca="1">INDEX(SectionsTbl[Section Description],RANDBETWEEN(1,4))</f>
        <v>Section 4</v>
      </c>
      <c r="J51" s="6"/>
    </row>
    <row r="52" spans="1:10" ht="19.5" thickTop="1" thickBot="1" x14ac:dyDescent="0.5">
      <c r="A52" s="3" t="s">
        <v>31</v>
      </c>
      <c r="B52" s="3" t="b">
        <f>ISNUMBER(IndexTbl[[#This Row],[Class]])</f>
        <v>1</v>
      </c>
      <c r="C52" s="8" t="str">
        <f>TRIM(IndexTbl[[#This Row],[Prefix]]&amp;IF(NOT(IndexTbl[[#This Row],[Dewey Number]])," "&amp;IndexTbl[[#This Row],[Class]],""))</f>
        <v>J INTL-CHI</v>
      </c>
      <c r="D52" s="4" t="s">
        <v>110</v>
      </c>
      <c r="E52" s="4">
        <v>999.99</v>
      </c>
      <c r="F52" s="4" t="s">
        <v>252</v>
      </c>
      <c r="G52" s="3"/>
      <c r="H52" s="3" t="s">
        <v>119</v>
      </c>
      <c r="I52" s="20" t="str">
        <f ca="1">INDEX(SectionsTbl[Section Description],RANDBETWEEN(1,4))</f>
        <v>Section 2</v>
      </c>
      <c r="J52" s="6"/>
    </row>
    <row r="53" spans="1:10" ht="19.5" thickTop="1" thickBot="1" x14ac:dyDescent="0.5">
      <c r="A53" s="3" t="s">
        <v>31</v>
      </c>
      <c r="B53" s="3" t="b">
        <f>ISNUMBER(IndexTbl[[#This Row],[Class]])</f>
        <v>0</v>
      </c>
      <c r="C53" s="8" t="str">
        <f>TRIM(IndexTbl[[#This Row],[Prefix]]&amp;IF(NOT(IndexTbl[[#This Row],[Dewey Number]])," "&amp;IndexTbl[[#This Row],[Class]],""))</f>
        <v>J INTL-CHI BIO</v>
      </c>
      <c r="D53" s="4" t="s">
        <v>110</v>
      </c>
      <c r="E53" s="4" t="s">
        <v>59</v>
      </c>
      <c r="F53" s="4" t="s">
        <v>266</v>
      </c>
      <c r="G53" s="3"/>
      <c r="H53" s="3" t="s">
        <v>125</v>
      </c>
      <c r="I53" s="20" t="str">
        <f ca="1">INDEX(SectionsTbl[Section Description],RANDBETWEEN(1,4))</f>
        <v>Section 1</v>
      </c>
      <c r="J53" s="6"/>
    </row>
    <row r="54" spans="1:10" ht="19.5" thickTop="1" thickBot="1" x14ac:dyDescent="0.5">
      <c r="A54" s="3" t="s">
        <v>31</v>
      </c>
      <c r="B54" s="3" t="b">
        <f>ISNUMBER(IndexTbl[[#This Row],[Class]])</f>
        <v>0</v>
      </c>
      <c r="C54" s="8" t="str">
        <f>TRIM(IndexTbl[[#This Row],[Prefix]]&amp;IF(NOT(IndexTbl[[#This Row],[Dewey Number]])," "&amp;IndexTbl[[#This Row],[Class]],""))</f>
        <v>INTL-CHI FIC</v>
      </c>
      <c r="D54" s="4" t="s">
        <v>187</v>
      </c>
      <c r="E54" s="4" t="s">
        <v>183</v>
      </c>
      <c r="F54" s="4" t="s">
        <v>268</v>
      </c>
      <c r="G54" s="3"/>
      <c r="H54" s="3" t="s">
        <v>186</v>
      </c>
      <c r="I54" s="20" t="str">
        <f ca="1">INDEX(SectionsTbl[Section Description],RANDBETWEEN(1,4))</f>
        <v>Section 3</v>
      </c>
      <c r="J54" s="6"/>
    </row>
    <row r="55" spans="1:10" ht="19.5" thickTop="1" thickBot="1" x14ac:dyDescent="0.5">
      <c r="A55" s="3" t="s">
        <v>31</v>
      </c>
      <c r="B55" s="3" t="b">
        <f>ISNUMBER(IndexTbl[[#This Row],[Class]])</f>
        <v>1</v>
      </c>
      <c r="C55" s="8" t="str">
        <f>TRIM(IndexTbl[[#This Row],[Prefix]]&amp;IF(NOT(IndexTbl[[#This Row],[Dewey Number]])," "&amp;IndexTbl[[#This Row],[Class]],""))</f>
        <v>INTL-CHI</v>
      </c>
      <c r="D55" s="4" t="s">
        <v>187</v>
      </c>
      <c r="E55" s="4">
        <v>999.99</v>
      </c>
      <c r="F55" s="4" t="s">
        <v>269</v>
      </c>
      <c r="G55" s="3"/>
      <c r="H55" s="3" t="s">
        <v>196</v>
      </c>
      <c r="I55" s="20" t="str">
        <f ca="1">INDEX(SectionsTbl[Section Description],RANDBETWEEN(1,4))</f>
        <v>Section 3</v>
      </c>
      <c r="J55" s="6"/>
    </row>
    <row r="56" spans="1:10" ht="19.5" thickTop="1" thickBot="1" x14ac:dyDescent="0.5">
      <c r="A56" s="3" t="s">
        <v>31</v>
      </c>
      <c r="B56" s="3" t="b">
        <f>ISNUMBER(IndexTbl[[#This Row],[Class]])</f>
        <v>0</v>
      </c>
      <c r="C56" s="8" t="str">
        <f>TRIM(IndexTbl[[#This Row],[Prefix]]&amp;IF(NOT(IndexTbl[[#This Row],[Dewey Number]])," "&amp;IndexTbl[[#This Row],[Class]],""))</f>
        <v>INTL-CHI BIO</v>
      </c>
      <c r="D56" s="4" t="s">
        <v>187</v>
      </c>
      <c r="E56" s="4" t="s">
        <v>59</v>
      </c>
      <c r="F56" s="4" t="s">
        <v>266</v>
      </c>
      <c r="G56" s="3"/>
      <c r="H56" s="3" t="s">
        <v>202</v>
      </c>
      <c r="I56" s="20" t="str">
        <f ca="1">INDEX(SectionsTbl[Section Description],RANDBETWEEN(1,4))</f>
        <v>Section 1</v>
      </c>
      <c r="J56" s="6"/>
    </row>
    <row r="57" spans="1:10" ht="19.5" thickTop="1" thickBot="1" x14ac:dyDescent="0.5">
      <c r="A57" s="3" t="s">
        <v>31</v>
      </c>
      <c r="B57" s="3" t="b">
        <f>ISNUMBER(IndexTbl[[#This Row],[Class]])</f>
        <v>0</v>
      </c>
      <c r="C57" s="8" t="str">
        <f>TRIM(IndexTbl[[#This Row],[Prefix]]&amp;IF(NOT(IndexTbl[[#This Row],[Dewey Number]])," "&amp;IndexTbl[[#This Row],[Class]],""))</f>
        <v>TEEN INTL-CHI</v>
      </c>
      <c r="D57" s="4" t="s">
        <v>223</v>
      </c>
      <c r="E57" s="4"/>
      <c r="F57" s="4" t="s">
        <v>279</v>
      </c>
      <c r="G57" s="3"/>
      <c r="H57" s="3" t="s">
        <v>222</v>
      </c>
      <c r="I57" s="20" t="str">
        <f ca="1">INDEX(SectionsTbl[Section Description],RANDBETWEEN(1,4))</f>
        <v>Section 2</v>
      </c>
      <c r="J57" s="6"/>
    </row>
    <row r="58" spans="1:10" ht="19.5" thickTop="1" thickBot="1" x14ac:dyDescent="0.5">
      <c r="A58" s="3" t="s">
        <v>31</v>
      </c>
      <c r="B58" s="3" t="b">
        <f>ISNUMBER(IndexTbl[[#This Row],[Class]])</f>
        <v>1</v>
      </c>
      <c r="C58" s="8" t="str">
        <f>TRIM(IndexTbl[[#This Row],[Prefix]]&amp;IF(NOT(IndexTbl[[#This Row],[Dewey Number]])," "&amp;IndexTbl[[#This Row],[Class]],""))</f>
        <v>TEEN INTL-CHI</v>
      </c>
      <c r="D58" s="4" t="s">
        <v>223</v>
      </c>
      <c r="E58" s="4">
        <v>999.99</v>
      </c>
      <c r="F58" s="4" t="s">
        <v>280</v>
      </c>
      <c r="G58" s="3"/>
      <c r="H58" s="3" t="s">
        <v>232</v>
      </c>
      <c r="I58" s="20" t="str">
        <f ca="1">INDEX(SectionsTbl[Section Description],RANDBETWEEN(1,4))</f>
        <v>Section 4</v>
      </c>
      <c r="J58" s="6"/>
    </row>
    <row r="59" spans="1:10" ht="19.5" thickTop="1" thickBot="1" x14ac:dyDescent="0.5">
      <c r="A59" s="3" t="s">
        <v>31</v>
      </c>
      <c r="B59" s="3" t="b">
        <f>ISNUMBER(IndexTbl[[#This Row],[Class]])</f>
        <v>0</v>
      </c>
      <c r="C59" s="8" t="str">
        <f>TRIM(IndexTbl[[#This Row],[Prefix]]&amp;IF(NOT(IndexTbl[[#This Row],[Dewey Number]])," "&amp;IndexTbl[[#This Row],[Class]],""))</f>
        <v>TEEN INTL-CHI BIO</v>
      </c>
      <c r="D59" s="4" t="s">
        <v>223</v>
      </c>
      <c r="E59" s="4" t="s">
        <v>59</v>
      </c>
      <c r="F59" s="4" t="s">
        <v>266</v>
      </c>
      <c r="G59" s="3"/>
      <c r="H59" s="3" t="s">
        <v>239</v>
      </c>
      <c r="I59" s="20" t="str">
        <f ca="1">INDEX(SectionsTbl[Section Description],RANDBETWEEN(1,4))</f>
        <v>Section 1</v>
      </c>
      <c r="J59" s="6"/>
    </row>
    <row r="60" spans="1:10" ht="19.5" thickTop="1" thickBot="1" x14ac:dyDescent="0.5">
      <c r="A60" s="3" t="s">
        <v>32</v>
      </c>
      <c r="B60" s="3" t="b">
        <f>ISNUMBER(IndexTbl[[#This Row],[Class]])</f>
        <v>0</v>
      </c>
      <c r="C60" s="8" t="str">
        <f>TRIM(IndexTbl[[#This Row],[Prefix]]&amp;IF(NOT(IndexTbl[[#This Row],[Dewey Number]])," "&amp;IndexTbl[[#This Row],[Class]],""))</f>
        <v>E INTL-KOR</v>
      </c>
      <c r="D60" s="4" t="s">
        <v>66</v>
      </c>
      <c r="E60" s="4"/>
      <c r="F60" s="4" t="s">
        <v>257</v>
      </c>
      <c r="G60" s="3"/>
      <c r="H60" s="3" t="s">
        <v>65</v>
      </c>
      <c r="I60" s="20" t="str">
        <f ca="1">INDEX(SectionsTbl[Section Description],RANDBETWEEN(1,4))</f>
        <v>Section 2</v>
      </c>
      <c r="J60" s="6"/>
    </row>
    <row r="61" spans="1:10" ht="19.5" thickTop="1" thickBot="1" x14ac:dyDescent="0.5">
      <c r="A61" s="3" t="s">
        <v>32</v>
      </c>
      <c r="B61" s="3" t="b">
        <f>ISNUMBER(IndexTbl[[#This Row],[Class]])</f>
        <v>1</v>
      </c>
      <c r="C61" s="8" t="str">
        <f>TRIM(IndexTbl[[#This Row],[Prefix]]&amp;IF(NOT(IndexTbl[[#This Row],[Dewey Number]])," "&amp;IndexTbl[[#This Row],[Class]],""))</f>
        <v>E INTL-KOR</v>
      </c>
      <c r="D61" s="4" t="s">
        <v>66</v>
      </c>
      <c r="E61" s="4">
        <v>999.99</v>
      </c>
      <c r="F61" s="4" t="s">
        <v>252</v>
      </c>
      <c r="G61" s="3"/>
      <c r="H61" s="3" t="s">
        <v>77</v>
      </c>
      <c r="I61" s="20" t="str">
        <f ca="1">INDEX(SectionsTbl[Section Description],RANDBETWEEN(1,4))</f>
        <v>Section 1</v>
      </c>
      <c r="J61" s="6"/>
    </row>
    <row r="62" spans="1:10" ht="19.5" thickTop="1" thickBot="1" x14ac:dyDescent="0.5">
      <c r="A62" s="3" t="s">
        <v>32</v>
      </c>
      <c r="B62" s="3" t="b">
        <f>ISNUMBER(IndexTbl[[#This Row],[Class]])</f>
        <v>0</v>
      </c>
      <c r="C62" s="8" t="str">
        <f>TRIM(IndexTbl[[#This Row],[Prefix]]&amp;IF(NOT(IndexTbl[[#This Row],[Dewey Number]])," "&amp;IndexTbl[[#This Row],[Class]],""))</f>
        <v>J INTL-KOR</v>
      </c>
      <c r="D62" s="4" t="s">
        <v>106</v>
      </c>
      <c r="E62" s="4"/>
      <c r="F62" s="4" t="s">
        <v>258</v>
      </c>
      <c r="G62" s="3"/>
      <c r="H62" s="3" t="s">
        <v>105</v>
      </c>
      <c r="I62" s="20" t="str">
        <f ca="1">INDEX(SectionsTbl[Section Description],RANDBETWEEN(1,4))</f>
        <v>Section 4</v>
      </c>
      <c r="J62" s="6"/>
    </row>
    <row r="63" spans="1:10" ht="19.5" thickTop="1" thickBot="1" x14ac:dyDescent="0.5">
      <c r="A63" s="3" t="s">
        <v>32</v>
      </c>
      <c r="B63" s="3" t="b">
        <f>ISNUMBER(IndexTbl[[#This Row],[Class]])</f>
        <v>1</v>
      </c>
      <c r="C63" s="8" t="str">
        <f>TRIM(IndexTbl[[#This Row],[Prefix]]&amp;IF(NOT(IndexTbl[[#This Row],[Dewey Number]])," "&amp;IndexTbl[[#This Row],[Class]],""))</f>
        <v>J INTL-KOR</v>
      </c>
      <c r="D63" s="4" t="s">
        <v>106</v>
      </c>
      <c r="E63" s="4">
        <v>999.99</v>
      </c>
      <c r="F63" s="4" t="s">
        <v>252</v>
      </c>
      <c r="G63" s="3"/>
      <c r="H63" s="3" t="s">
        <v>117</v>
      </c>
      <c r="I63" s="20" t="str">
        <f ca="1">INDEX(SectionsTbl[Section Description],RANDBETWEEN(1,4))</f>
        <v>Section 2</v>
      </c>
      <c r="J63" s="6"/>
    </row>
    <row r="64" spans="1:10" ht="19.5" thickTop="1" thickBot="1" x14ac:dyDescent="0.5">
      <c r="A64" s="3" t="s">
        <v>32</v>
      </c>
      <c r="B64" s="3" t="b">
        <f>ISNUMBER(IndexTbl[[#This Row],[Class]])</f>
        <v>0</v>
      </c>
      <c r="C64" s="8" t="str">
        <f>TRIM(IndexTbl[[#This Row],[Prefix]]&amp;IF(NOT(IndexTbl[[#This Row],[Dewey Number]])," "&amp;IndexTbl[[#This Row],[Class]],""))</f>
        <v>J INTL-KOR BIO</v>
      </c>
      <c r="D64" s="4" t="s">
        <v>106</v>
      </c>
      <c r="E64" s="4" t="s">
        <v>59</v>
      </c>
      <c r="F64" s="4" t="s">
        <v>266</v>
      </c>
      <c r="G64" s="3"/>
      <c r="H64" s="3" t="s">
        <v>123</v>
      </c>
      <c r="I64" s="20" t="str">
        <f ca="1">INDEX(SectionsTbl[Section Description],RANDBETWEEN(1,4))</f>
        <v>Section 2</v>
      </c>
      <c r="J64" s="6"/>
    </row>
    <row r="65" spans="1:10" ht="19.5" thickTop="1" thickBot="1" x14ac:dyDescent="0.5">
      <c r="A65" s="3" t="s">
        <v>32</v>
      </c>
      <c r="B65" s="3" t="b">
        <f>ISNUMBER(IndexTbl[[#This Row],[Class]])</f>
        <v>0</v>
      </c>
      <c r="C65" s="8" t="str">
        <f>TRIM(IndexTbl[[#This Row],[Prefix]]&amp;IF(NOT(IndexTbl[[#This Row],[Dewey Number]])," "&amp;IndexTbl[[#This Row],[Class]],""))</f>
        <v>INTL-KOR FIC</v>
      </c>
      <c r="D65" s="4" t="s">
        <v>182</v>
      </c>
      <c r="E65" s="4" t="s">
        <v>183</v>
      </c>
      <c r="F65" s="4" t="s">
        <v>268</v>
      </c>
      <c r="G65" s="3"/>
      <c r="H65" s="3" t="s">
        <v>181</v>
      </c>
      <c r="I65" s="20" t="str">
        <f ca="1">INDEX(SectionsTbl[Section Description],RANDBETWEEN(1,4))</f>
        <v>Section 2</v>
      </c>
      <c r="J65" s="6"/>
    </row>
    <row r="66" spans="1:10" ht="19.5" thickTop="1" thickBot="1" x14ac:dyDescent="0.5">
      <c r="A66" s="3" t="s">
        <v>32</v>
      </c>
      <c r="B66" s="3" t="b">
        <f>ISNUMBER(IndexTbl[[#This Row],[Class]])</f>
        <v>1</v>
      </c>
      <c r="C66" s="8" t="str">
        <f>TRIM(IndexTbl[[#This Row],[Prefix]]&amp;IF(NOT(IndexTbl[[#This Row],[Dewey Number]])," "&amp;IndexTbl[[#This Row],[Class]],""))</f>
        <v>INTL-KOR</v>
      </c>
      <c r="D66" s="4" t="s">
        <v>182</v>
      </c>
      <c r="E66" s="4">
        <v>999.99</v>
      </c>
      <c r="F66" s="4" t="s">
        <v>269</v>
      </c>
      <c r="G66" s="3"/>
      <c r="H66" s="3" t="s">
        <v>194</v>
      </c>
      <c r="I66" s="20" t="str">
        <f ca="1">INDEX(SectionsTbl[Section Description],RANDBETWEEN(1,4))</f>
        <v>Section 3</v>
      </c>
      <c r="J66" s="6"/>
    </row>
    <row r="67" spans="1:10" ht="19.5" thickTop="1" thickBot="1" x14ac:dyDescent="0.5">
      <c r="A67" s="3" t="s">
        <v>32</v>
      </c>
      <c r="B67" s="3" t="b">
        <f>ISNUMBER(IndexTbl[[#This Row],[Class]])</f>
        <v>0</v>
      </c>
      <c r="C67" s="8" t="str">
        <f>TRIM(IndexTbl[[#This Row],[Prefix]]&amp;IF(NOT(IndexTbl[[#This Row],[Dewey Number]])," "&amp;IndexTbl[[#This Row],[Class]],""))</f>
        <v>INTL-KOR BIO</v>
      </c>
      <c r="D67" s="4" t="s">
        <v>182</v>
      </c>
      <c r="E67" s="4" t="s">
        <v>59</v>
      </c>
      <c r="F67" s="4" t="s">
        <v>266</v>
      </c>
      <c r="G67" s="3"/>
      <c r="H67" s="3" t="s">
        <v>200</v>
      </c>
      <c r="I67" s="20" t="str">
        <f ca="1">INDEX(SectionsTbl[Section Description],RANDBETWEEN(1,4))</f>
        <v>Section 3</v>
      </c>
      <c r="J67" s="6"/>
    </row>
    <row r="68" spans="1:10" ht="19.5" thickTop="1" thickBot="1" x14ac:dyDescent="0.5">
      <c r="A68" s="3" t="s">
        <v>32</v>
      </c>
      <c r="B68" s="3" t="b">
        <f>ISNUMBER(IndexTbl[[#This Row],[Class]])</f>
        <v>0</v>
      </c>
      <c r="C68" s="8" t="str">
        <f>TRIM(IndexTbl[[#This Row],[Prefix]]&amp;IF(NOT(IndexTbl[[#This Row],[Dewey Number]])," "&amp;IndexTbl[[#This Row],[Class]],""))</f>
        <v>TEEN INTL-KOR</v>
      </c>
      <c r="D68" s="4" t="s">
        <v>219</v>
      </c>
      <c r="E68" s="4"/>
      <c r="F68" s="4" t="s">
        <v>279</v>
      </c>
      <c r="G68" s="3"/>
      <c r="H68" s="3" t="s">
        <v>218</v>
      </c>
      <c r="I68" s="20" t="str">
        <f ca="1">INDEX(SectionsTbl[Section Description],RANDBETWEEN(1,4))</f>
        <v>Section 3</v>
      </c>
      <c r="J68" s="6"/>
    </row>
    <row r="69" spans="1:10" ht="19.5" thickTop="1" thickBot="1" x14ac:dyDescent="0.5">
      <c r="A69" s="3" t="s">
        <v>32</v>
      </c>
      <c r="B69" s="3" t="b">
        <f>ISNUMBER(IndexTbl[[#This Row],[Class]])</f>
        <v>1</v>
      </c>
      <c r="C69" s="8" t="str">
        <f>TRIM(IndexTbl[[#This Row],[Prefix]]&amp;IF(NOT(IndexTbl[[#This Row],[Dewey Number]])," "&amp;IndexTbl[[#This Row],[Class]],""))</f>
        <v>TEEN INTL-KOR</v>
      </c>
      <c r="D69" s="4" t="s">
        <v>219</v>
      </c>
      <c r="E69" s="4">
        <v>999.99</v>
      </c>
      <c r="F69" s="4" t="s">
        <v>280</v>
      </c>
      <c r="G69" s="3"/>
      <c r="H69" s="3" t="s">
        <v>230</v>
      </c>
      <c r="I69" s="20" t="str">
        <f ca="1">INDEX(SectionsTbl[Section Description],RANDBETWEEN(1,4))</f>
        <v>Section 2</v>
      </c>
      <c r="J69" s="6"/>
    </row>
    <row r="70" spans="1:10" ht="19.5" thickTop="1" thickBot="1" x14ac:dyDescent="0.5">
      <c r="A70" s="3" t="s">
        <v>32</v>
      </c>
      <c r="B70" s="3" t="b">
        <f>ISNUMBER(IndexTbl[[#This Row],[Class]])</f>
        <v>0</v>
      </c>
      <c r="C70" s="8" t="str">
        <f>TRIM(IndexTbl[[#This Row],[Prefix]]&amp;IF(NOT(IndexTbl[[#This Row],[Dewey Number]])," "&amp;IndexTbl[[#This Row],[Class]],""))</f>
        <v>TEEN INTL-KOR BIO</v>
      </c>
      <c r="D70" s="4" t="s">
        <v>237</v>
      </c>
      <c r="E70" s="4" t="s">
        <v>59</v>
      </c>
      <c r="F70" s="4" t="s">
        <v>266</v>
      </c>
      <c r="G70" s="3"/>
      <c r="H70" s="3" t="s">
        <v>236</v>
      </c>
      <c r="I70" s="20" t="str">
        <f ca="1">INDEX(SectionsTbl[Section Description],RANDBETWEEN(1,4))</f>
        <v>Section 1</v>
      </c>
      <c r="J70" s="6"/>
    </row>
    <row r="71" spans="1:10" ht="19.5" thickTop="1" thickBot="1" x14ac:dyDescent="0.5">
      <c r="A71" s="3" t="s">
        <v>33</v>
      </c>
      <c r="B71" s="3" t="b">
        <f>ISNUMBER(IndexTbl[[#This Row],[Class]])</f>
        <v>0</v>
      </c>
      <c r="C71" s="8" t="str">
        <f>TRIM(IndexTbl[[#This Row],[Prefix]]&amp;IF(NOT(IndexTbl[[#This Row],[Dewey Number]])," "&amp;IndexTbl[[#This Row],[Class]],""))</f>
        <v>E INTL-JPN</v>
      </c>
      <c r="D71" s="4" t="s">
        <v>68</v>
      </c>
      <c r="E71" s="4"/>
      <c r="F71" s="4" t="s">
        <v>257</v>
      </c>
      <c r="G71" s="3"/>
      <c r="H71" s="3" t="s">
        <v>67</v>
      </c>
      <c r="I71" s="20" t="str">
        <f ca="1">INDEX(SectionsTbl[Section Description],RANDBETWEEN(1,4))</f>
        <v>Section 1</v>
      </c>
      <c r="J71" s="6"/>
    </row>
    <row r="72" spans="1:10" ht="19.5" thickTop="1" thickBot="1" x14ac:dyDescent="0.5">
      <c r="A72" s="3" t="s">
        <v>33</v>
      </c>
      <c r="B72" s="3" t="b">
        <f>ISNUMBER(IndexTbl[[#This Row],[Class]])</f>
        <v>1</v>
      </c>
      <c r="C72" s="8" t="str">
        <f>TRIM(IndexTbl[[#This Row],[Prefix]]&amp;IF(NOT(IndexTbl[[#This Row],[Dewey Number]])," "&amp;IndexTbl[[#This Row],[Class]],""))</f>
        <v>E INTL-JPN</v>
      </c>
      <c r="D72" s="4" t="s">
        <v>68</v>
      </c>
      <c r="E72" s="4">
        <v>999.99</v>
      </c>
      <c r="F72" s="4" t="s">
        <v>252</v>
      </c>
      <c r="G72" s="3"/>
      <c r="H72" s="3" t="s">
        <v>78</v>
      </c>
      <c r="I72" s="20" t="str">
        <f ca="1">INDEX(SectionsTbl[Section Description],RANDBETWEEN(1,4))</f>
        <v>Section 4</v>
      </c>
      <c r="J72" s="6"/>
    </row>
    <row r="73" spans="1:10" ht="19.5" thickTop="1" thickBot="1" x14ac:dyDescent="0.5">
      <c r="A73" s="3" t="s">
        <v>33</v>
      </c>
      <c r="B73" s="3" t="b">
        <f>ISNUMBER(IndexTbl[[#This Row],[Class]])</f>
        <v>0</v>
      </c>
      <c r="C73" s="8" t="str">
        <f>TRIM(IndexTbl[[#This Row],[Prefix]]&amp;IF(NOT(IndexTbl[[#This Row],[Dewey Number]])," "&amp;IndexTbl[[#This Row],[Class]],""))</f>
        <v>J INTL-JPN</v>
      </c>
      <c r="D73" s="4" t="s">
        <v>108</v>
      </c>
      <c r="E73" s="4"/>
      <c r="F73" s="4" t="s">
        <v>258</v>
      </c>
      <c r="G73" s="3"/>
      <c r="H73" s="3" t="s">
        <v>107</v>
      </c>
      <c r="I73" s="20" t="str">
        <f ca="1">INDEX(SectionsTbl[Section Description],RANDBETWEEN(1,4))</f>
        <v>Section 1</v>
      </c>
      <c r="J73" s="6"/>
    </row>
    <row r="74" spans="1:10" ht="19.5" thickTop="1" thickBot="1" x14ac:dyDescent="0.5">
      <c r="A74" s="3" t="s">
        <v>33</v>
      </c>
      <c r="B74" s="3" t="b">
        <f>ISNUMBER(IndexTbl[[#This Row],[Class]])</f>
        <v>1</v>
      </c>
      <c r="C74" s="8" t="str">
        <f>TRIM(IndexTbl[[#This Row],[Prefix]]&amp;IF(NOT(IndexTbl[[#This Row],[Dewey Number]])," "&amp;IndexTbl[[#This Row],[Class]],""))</f>
        <v>J INTL-JPN</v>
      </c>
      <c r="D74" s="4" t="s">
        <v>108</v>
      </c>
      <c r="E74" s="4">
        <v>999.99</v>
      </c>
      <c r="F74" s="4" t="s">
        <v>252</v>
      </c>
      <c r="G74" s="3"/>
      <c r="H74" s="3" t="s">
        <v>118</v>
      </c>
      <c r="I74" s="20" t="str">
        <f ca="1">INDEX(SectionsTbl[Section Description],RANDBETWEEN(1,4))</f>
        <v>Section 2</v>
      </c>
      <c r="J74" s="6"/>
    </row>
    <row r="75" spans="1:10" ht="19.5" thickTop="1" thickBot="1" x14ac:dyDescent="0.5">
      <c r="A75" s="3" t="s">
        <v>33</v>
      </c>
      <c r="B75" s="3" t="b">
        <f>ISNUMBER(IndexTbl[[#This Row],[Class]])</f>
        <v>0</v>
      </c>
      <c r="C75" s="8" t="str">
        <f>TRIM(IndexTbl[[#This Row],[Prefix]]&amp;IF(NOT(IndexTbl[[#This Row],[Dewey Number]])," "&amp;IndexTbl[[#This Row],[Class]],""))</f>
        <v>J INTL-JPN BIO</v>
      </c>
      <c r="D75" s="4" t="s">
        <v>108</v>
      </c>
      <c r="E75" s="4" t="s">
        <v>59</v>
      </c>
      <c r="F75" s="4" t="s">
        <v>266</v>
      </c>
      <c r="G75" s="3"/>
      <c r="H75" s="3" t="s">
        <v>124</v>
      </c>
      <c r="I75" s="20" t="str">
        <f ca="1">INDEX(SectionsTbl[Section Description],RANDBETWEEN(1,4))</f>
        <v>Section 3</v>
      </c>
      <c r="J75" s="6"/>
    </row>
    <row r="76" spans="1:10" ht="19.5" thickTop="1" thickBot="1" x14ac:dyDescent="0.5">
      <c r="A76" s="3" t="s">
        <v>33</v>
      </c>
      <c r="B76" s="3" t="b">
        <f>ISNUMBER(IndexTbl[[#This Row],[Class]])</f>
        <v>0</v>
      </c>
      <c r="C76" s="8" t="str">
        <f>TRIM(IndexTbl[[#This Row],[Prefix]]&amp;IF(NOT(IndexTbl[[#This Row],[Dewey Number]])," "&amp;IndexTbl[[#This Row],[Class]],""))</f>
        <v>INTL-JPN FIC</v>
      </c>
      <c r="D76" s="4" t="s">
        <v>185</v>
      </c>
      <c r="E76" s="4" t="s">
        <v>183</v>
      </c>
      <c r="F76" s="4" t="s">
        <v>268</v>
      </c>
      <c r="G76" s="3"/>
      <c r="H76" s="3" t="s">
        <v>184</v>
      </c>
      <c r="I76" s="20" t="str">
        <f ca="1">INDEX(SectionsTbl[Section Description],RANDBETWEEN(1,4))</f>
        <v>Section 1</v>
      </c>
      <c r="J76" s="6"/>
    </row>
    <row r="77" spans="1:10" ht="19.5" thickTop="1" thickBot="1" x14ac:dyDescent="0.5">
      <c r="A77" s="3" t="s">
        <v>33</v>
      </c>
      <c r="B77" s="3" t="b">
        <f>ISNUMBER(IndexTbl[[#This Row],[Class]])</f>
        <v>1</v>
      </c>
      <c r="C77" s="8" t="str">
        <f>TRIM(IndexTbl[[#This Row],[Prefix]]&amp;IF(NOT(IndexTbl[[#This Row],[Dewey Number]])," "&amp;IndexTbl[[#This Row],[Class]],""))</f>
        <v>INTL-JPN</v>
      </c>
      <c r="D77" s="4" t="s">
        <v>185</v>
      </c>
      <c r="E77" s="4">
        <v>999.99</v>
      </c>
      <c r="F77" s="4" t="s">
        <v>269</v>
      </c>
      <c r="G77" s="3"/>
      <c r="H77" s="3" t="s">
        <v>195</v>
      </c>
      <c r="I77" s="20" t="str">
        <f ca="1">INDEX(SectionsTbl[Section Description],RANDBETWEEN(1,4))</f>
        <v>Section 1</v>
      </c>
      <c r="J77" s="6"/>
    </row>
    <row r="78" spans="1:10" ht="19.5" thickTop="1" thickBot="1" x14ac:dyDescent="0.5">
      <c r="A78" s="3" t="s">
        <v>33</v>
      </c>
      <c r="B78" s="3" t="b">
        <f>ISNUMBER(IndexTbl[[#This Row],[Class]])</f>
        <v>0</v>
      </c>
      <c r="C78" s="8" t="str">
        <f>TRIM(IndexTbl[[#This Row],[Prefix]]&amp;IF(NOT(IndexTbl[[#This Row],[Dewey Number]])," "&amp;IndexTbl[[#This Row],[Class]],""))</f>
        <v>INTL-JPN BIO</v>
      </c>
      <c r="D78" s="4" t="s">
        <v>185</v>
      </c>
      <c r="E78" s="4" t="s">
        <v>59</v>
      </c>
      <c r="F78" s="4" t="s">
        <v>266</v>
      </c>
      <c r="G78" s="3"/>
      <c r="H78" s="3" t="s">
        <v>201</v>
      </c>
      <c r="I78" s="20" t="str">
        <f ca="1">INDEX(SectionsTbl[Section Description],RANDBETWEEN(1,4))</f>
        <v>Section 4</v>
      </c>
      <c r="J78" s="6"/>
    </row>
    <row r="79" spans="1:10" ht="19.5" thickTop="1" thickBot="1" x14ac:dyDescent="0.5">
      <c r="A79" s="3" t="s">
        <v>33</v>
      </c>
      <c r="B79" s="3" t="b">
        <f>ISNUMBER(IndexTbl[[#This Row],[Class]])</f>
        <v>0</v>
      </c>
      <c r="C79" s="8" t="str">
        <f>TRIM(IndexTbl[[#This Row],[Prefix]]&amp;IF(NOT(IndexTbl[[#This Row],[Dewey Number]])," "&amp;IndexTbl[[#This Row],[Class]],""))</f>
        <v>TEEN INTL-JPN</v>
      </c>
      <c r="D79" s="4" t="s">
        <v>221</v>
      </c>
      <c r="E79" s="4"/>
      <c r="F79" s="4" t="s">
        <v>279</v>
      </c>
      <c r="G79" s="3"/>
      <c r="H79" s="3" t="s">
        <v>220</v>
      </c>
      <c r="I79" s="20" t="str">
        <f ca="1">INDEX(SectionsTbl[Section Description],RANDBETWEEN(1,4))</f>
        <v>Section 4</v>
      </c>
      <c r="J79" s="6"/>
    </row>
    <row r="80" spans="1:10" ht="19.5" thickTop="1" thickBot="1" x14ac:dyDescent="0.5">
      <c r="A80" s="3" t="s">
        <v>33</v>
      </c>
      <c r="B80" s="3" t="b">
        <f>ISNUMBER(IndexTbl[[#This Row],[Class]])</f>
        <v>1</v>
      </c>
      <c r="C80" s="8" t="str">
        <f>TRIM(IndexTbl[[#This Row],[Prefix]]&amp;IF(NOT(IndexTbl[[#This Row],[Dewey Number]])," "&amp;IndexTbl[[#This Row],[Class]],""))</f>
        <v>TEEN INTL-JPN</v>
      </c>
      <c r="D80" s="4" t="s">
        <v>221</v>
      </c>
      <c r="E80" s="4">
        <v>999.99</v>
      </c>
      <c r="F80" s="4" t="s">
        <v>280</v>
      </c>
      <c r="G80" s="3"/>
      <c r="H80" s="3" t="s">
        <v>231</v>
      </c>
      <c r="I80" s="20" t="str">
        <f ca="1">INDEX(SectionsTbl[Section Description],RANDBETWEEN(1,4))</f>
        <v>Section 1</v>
      </c>
      <c r="J80" s="6"/>
    </row>
    <row r="81" spans="1:10" ht="19.5" thickTop="1" thickBot="1" x14ac:dyDescent="0.5">
      <c r="A81" s="3" t="s">
        <v>33</v>
      </c>
      <c r="B81" s="3" t="b">
        <f>ISNUMBER(IndexTbl[[#This Row],[Class]])</f>
        <v>0</v>
      </c>
      <c r="C81" s="8" t="str">
        <f>TRIM(IndexTbl[[#This Row],[Prefix]]&amp;IF(NOT(IndexTbl[[#This Row],[Dewey Number]])," "&amp;IndexTbl[[#This Row],[Class]],""))</f>
        <v>TEEN INTL-JPN BIO</v>
      </c>
      <c r="D81" s="4" t="s">
        <v>221</v>
      </c>
      <c r="E81" s="4" t="s">
        <v>59</v>
      </c>
      <c r="F81" s="4" t="s">
        <v>266</v>
      </c>
      <c r="G81" s="3"/>
      <c r="H81" s="3" t="s">
        <v>238</v>
      </c>
      <c r="I81" s="20" t="str">
        <f ca="1">INDEX(SectionsTbl[Section Description],RANDBETWEEN(1,4))</f>
        <v>Section 2</v>
      </c>
      <c r="J81" s="6"/>
    </row>
    <row r="82" spans="1:10" ht="19.5" thickTop="1" thickBot="1" x14ac:dyDescent="0.5">
      <c r="A82" s="3" t="s">
        <v>39</v>
      </c>
      <c r="B82" s="3" t="b">
        <f>ISNUMBER(IndexTbl[[#This Row],[Class]])</f>
        <v>0</v>
      </c>
      <c r="C82" s="8" t="str">
        <f>TRIM(IndexTbl[[#This Row],[Prefix]]&amp;IF(NOT(IndexTbl[[#This Row],[Dewey Number]])," "&amp;IndexTbl[[#This Row],[Class]],""))</f>
        <v>E INTL-RUS</v>
      </c>
      <c r="D82" s="4" t="s">
        <v>72</v>
      </c>
      <c r="E82" s="4"/>
      <c r="F82" s="4" t="s">
        <v>257</v>
      </c>
      <c r="G82" s="3"/>
      <c r="H82" s="3" t="s">
        <v>71</v>
      </c>
      <c r="I82" s="20" t="str">
        <f ca="1">INDEX(SectionsTbl[Section Description],RANDBETWEEN(1,4))</f>
        <v>Section 2</v>
      </c>
      <c r="J82" s="6"/>
    </row>
    <row r="83" spans="1:10" ht="19.5" thickTop="1" thickBot="1" x14ac:dyDescent="0.5">
      <c r="A83" s="3" t="s">
        <v>39</v>
      </c>
      <c r="B83" s="3" t="b">
        <f>ISNUMBER(IndexTbl[[#This Row],[Class]])</f>
        <v>1</v>
      </c>
      <c r="C83" s="8" t="str">
        <f>TRIM(IndexTbl[[#This Row],[Prefix]]&amp;IF(NOT(IndexTbl[[#This Row],[Dewey Number]])," "&amp;IndexTbl[[#This Row],[Class]],""))</f>
        <v>E INTL-RUS</v>
      </c>
      <c r="D83" s="4" t="s">
        <v>82</v>
      </c>
      <c r="E83" s="4">
        <v>999.99</v>
      </c>
      <c r="F83" s="4" t="s">
        <v>252</v>
      </c>
      <c r="G83" s="3"/>
      <c r="H83" s="3" t="s">
        <v>81</v>
      </c>
      <c r="I83" s="20" t="str">
        <f ca="1">INDEX(SectionsTbl[Section Description],RANDBETWEEN(1,4))</f>
        <v>Section 3</v>
      </c>
      <c r="J83" s="6"/>
    </row>
    <row r="84" spans="1:10" ht="19.5" thickTop="1" thickBot="1" x14ac:dyDescent="0.5">
      <c r="A84" s="3" t="s">
        <v>39</v>
      </c>
      <c r="B84" s="3" t="b">
        <f>ISNUMBER(IndexTbl[[#This Row],[Class]])</f>
        <v>0</v>
      </c>
      <c r="C84" s="8" t="str">
        <f>TRIM(IndexTbl[[#This Row],[Prefix]]&amp;IF(NOT(IndexTbl[[#This Row],[Dewey Number]])," "&amp;IndexTbl[[#This Row],[Class]],""))</f>
        <v>J INTL-RUS</v>
      </c>
      <c r="D84" s="4" t="s">
        <v>112</v>
      </c>
      <c r="E84" s="4"/>
      <c r="F84" s="4" t="s">
        <v>258</v>
      </c>
      <c r="G84" s="3"/>
      <c r="H84" s="3" t="s">
        <v>111</v>
      </c>
      <c r="I84" s="20" t="str">
        <f ca="1">INDEX(SectionsTbl[Section Description],RANDBETWEEN(1,4))</f>
        <v>Section 4</v>
      </c>
      <c r="J84" s="6"/>
    </row>
    <row r="85" spans="1:10" ht="19.5" thickTop="1" thickBot="1" x14ac:dyDescent="0.5">
      <c r="A85" s="3" t="s">
        <v>39</v>
      </c>
      <c r="B85" s="3" t="b">
        <f>ISNUMBER(IndexTbl[[#This Row],[Class]])</f>
        <v>1</v>
      </c>
      <c r="C85" s="8" t="str">
        <f>TRIM(IndexTbl[[#This Row],[Prefix]]&amp;IF(NOT(IndexTbl[[#This Row],[Dewey Number]])," "&amp;IndexTbl[[#This Row],[Class]],""))</f>
        <v>J INTL-RUS</v>
      </c>
      <c r="D85" s="4" t="s">
        <v>112</v>
      </c>
      <c r="E85" s="4">
        <v>999.99</v>
      </c>
      <c r="F85" s="4" t="s">
        <v>252</v>
      </c>
      <c r="G85" s="3"/>
      <c r="H85" s="3" t="s">
        <v>120</v>
      </c>
      <c r="I85" s="20" t="str">
        <f ca="1">INDEX(SectionsTbl[Section Description],RANDBETWEEN(1,4))</f>
        <v>Section 1</v>
      </c>
      <c r="J85" s="6"/>
    </row>
    <row r="86" spans="1:10" ht="19.5" thickTop="1" thickBot="1" x14ac:dyDescent="0.5">
      <c r="A86" s="3" t="s">
        <v>39</v>
      </c>
      <c r="B86" s="3" t="b">
        <f>ISNUMBER(IndexTbl[[#This Row],[Class]])</f>
        <v>0</v>
      </c>
      <c r="C86" s="8" t="str">
        <f>TRIM(IndexTbl[[#This Row],[Prefix]]&amp;IF(NOT(IndexTbl[[#This Row],[Dewey Number]])," "&amp;IndexTbl[[#This Row],[Class]],""))</f>
        <v>J INTL-RUS BIO</v>
      </c>
      <c r="D86" s="4" t="s">
        <v>112</v>
      </c>
      <c r="E86" s="4" t="s">
        <v>59</v>
      </c>
      <c r="F86" s="4" t="s">
        <v>266</v>
      </c>
      <c r="G86" s="3"/>
      <c r="H86" s="3" t="s">
        <v>126</v>
      </c>
      <c r="I86" s="20" t="str">
        <f ca="1">INDEX(SectionsTbl[Section Description],RANDBETWEEN(1,4))</f>
        <v>Section 4</v>
      </c>
      <c r="J86" s="6"/>
    </row>
    <row r="87" spans="1:10" ht="19.5" thickTop="1" thickBot="1" x14ac:dyDescent="0.5">
      <c r="A87" s="3" t="s">
        <v>39</v>
      </c>
      <c r="B87" s="3" t="b">
        <f>ISNUMBER(IndexTbl[[#This Row],[Class]])</f>
        <v>0</v>
      </c>
      <c r="C87" s="8" t="str">
        <f>TRIM(IndexTbl[[#This Row],[Prefix]]&amp;IF(NOT(IndexTbl[[#This Row],[Dewey Number]])," "&amp;IndexTbl[[#This Row],[Class]],""))</f>
        <v>INTL-RUS FIC</v>
      </c>
      <c r="D87" s="4" t="s">
        <v>189</v>
      </c>
      <c r="E87" s="4" t="s">
        <v>183</v>
      </c>
      <c r="F87" s="4" t="s">
        <v>268</v>
      </c>
      <c r="G87" s="3"/>
      <c r="H87" s="3" t="s">
        <v>188</v>
      </c>
      <c r="I87" s="20" t="str">
        <f ca="1">INDEX(SectionsTbl[Section Description],RANDBETWEEN(1,4))</f>
        <v>Section 4</v>
      </c>
      <c r="J87" s="6"/>
    </row>
    <row r="88" spans="1:10" ht="19.5" thickTop="1" thickBot="1" x14ac:dyDescent="0.5">
      <c r="A88" s="3" t="s">
        <v>39</v>
      </c>
      <c r="B88" s="3" t="b">
        <f>ISNUMBER(IndexTbl[[#This Row],[Class]])</f>
        <v>1</v>
      </c>
      <c r="C88" s="8" t="str">
        <f>TRIM(IndexTbl[[#This Row],[Prefix]]&amp;IF(NOT(IndexTbl[[#This Row],[Dewey Number]])," "&amp;IndexTbl[[#This Row],[Class]],""))</f>
        <v>INTL-RUS</v>
      </c>
      <c r="D88" s="4" t="s">
        <v>189</v>
      </c>
      <c r="E88" s="4">
        <v>999.99</v>
      </c>
      <c r="F88" s="4" t="s">
        <v>269</v>
      </c>
      <c r="G88" s="3"/>
      <c r="H88" s="3" t="s">
        <v>197</v>
      </c>
      <c r="I88" s="20" t="str">
        <f ca="1">INDEX(SectionsTbl[Section Description],RANDBETWEEN(1,4))</f>
        <v>Section 1</v>
      </c>
      <c r="J88" s="6"/>
    </row>
    <row r="89" spans="1:10" ht="19.5" thickTop="1" thickBot="1" x14ac:dyDescent="0.5">
      <c r="A89" s="3" t="s">
        <v>39</v>
      </c>
      <c r="B89" s="3" t="b">
        <f>ISNUMBER(IndexTbl[[#This Row],[Class]])</f>
        <v>0</v>
      </c>
      <c r="C89" s="8" t="str">
        <f>TRIM(IndexTbl[[#This Row],[Prefix]]&amp;IF(NOT(IndexTbl[[#This Row],[Dewey Number]])," "&amp;IndexTbl[[#This Row],[Class]],""))</f>
        <v>INTL-RUS BIO</v>
      </c>
      <c r="D89" s="4" t="s">
        <v>189</v>
      </c>
      <c r="E89" s="4" t="s">
        <v>59</v>
      </c>
      <c r="F89" s="4" t="s">
        <v>266</v>
      </c>
      <c r="G89" s="3"/>
      <c r="H89" s="3" t="s">
        <v>203</v>
      </c>
      <c r="I89" s="20" t="str">
        <f ca="1">INDEX(SectionsTbl[Section Description],RANDBETWEEN(1,4))</f>
        <v>Section 3</v>
      </c>
      <c r="J89" s="6"/>
    </row>
    <row r="90" spans="1:10" ht="19.5" thickTop="1" thickBot="1" x14ac:dyDescent="0.5">
      <c r="A90" s="3" t="s">
        <v>39</v>
      </c>
      <c r="B90" s="3" t="b">
        <f>ISNUMBER(IndexTbl[[#This Row],[Class]])</f>
        <v>0</v>
      </c>
      <c r="C90" s="8" t="str">
        <f>TRIM(IndexTbl[[#This Row],[Prefix]]&amp;IF(NOT(IndexTbl[[#This Row],[Dewey Number]])," "&amp;IndexTbl[[#This Row],[Class]],""))</f>
        <v>TEEN INTL-RUS</v>
      </c>
      <c r="D90" s="4" t="s">
        <v>225</v>
      </c>
      <c r="E90" s="4"/>
      <c r="F90" s="4" t="s">
        <v>279</v>
      </c>
      <c r="G90" s="3"/>
      <c r="H90" s="3" t="s">
        <v>224</v>
      </c>
      <c r="I90" s="20" t="str">
        <f ca="1">INDEX(SectionsTbl[Section Description],RANDBETWEEN(1,4))</f>
        <v>Section 1</v>
      </c>
      <c r="J90" s="6"/>
    </row>
    <row r="91" spans="1:10" ht="19.5" thickTop="1" thickBot="1" x14ac:dyDescent="0.5">
      <c r="A91" s="3" t="s">
        <v>39</v>
      </c>
      <c r="B91" s="3" t="b">
        <f>ISNUMBER(IndexTbl[[#This Row],[Class]])</f>
        <v>1</v>
      </c>
      <c r="C91" s="8" t="str">
        <f>TRIM(IndexTbl[[#This Row],[Prefix]]&amp;IF(NOT(IndexTbl[[#This Row],[Dewey Number]])," "&amp;IndexTbl[[#This Row],[Class]],""))</f>
        <v>TEEN INTL-RUS</v>
      </c>
      <c r="D91" s="4" t="s">
        <v>225</v>
      </c>
      <c r="E91" s="4">
        <v>999.99</v>
      </c>
      <c r="F91" s="4" t="s">
        <v>280</v>
      </c>
      <c r="G91" s="3"/>
      <c r="H91" s="3" t="s">
        <v>233</v>
      </c>
      <c r="I91" s="20" t="str">
        <f ca="1">INDEX(SectionsTbl[Section Description],RANDBETWEEN(1,4))</f>
        <v>Section 3</v>
      </c>
      <c r="J91" s="6"/>
    </row>
    <row r="92" spans="1:10" ht="19.5" thickTop="1" thickBot="1" x14ac:dyDescent="0.5">
      <c r="A92" s="3" t="s">
        <v>39</v>
      </c>
      <c r="B92" s="3" t="b">
        <f>ISNUMBER(IndexTbl[[#This Row],[Class]])</f>
        <v>0</v>
      </c>
      <c r="C92" s="8" t="str">
        <f>TRIM(IndexTbl[[#This Row],[Prefix]]&amp;IF(NOT(IndexTbl[[#This Row],[Dewey Number]])," "&amp;IndexTbl[[#This Row],[Class]],""))</f>
        <v>TEEN INTL-RUS BIO</v>
      </c>
      <c r="D92" s="4" t="s">
        <v>225</v>
      </c>
      <c r="E92" s="4" t="s">
        <v>59</v>
      </c>
      <c r="F92" s="4" t="s">
        <v>266</v>
      </c>
      <c r="G92" s="3"/>
      <c r="H92" s="3" t="s">
        <v>240</v>
      </c>
      <c r="I92" s="20" t="str">
        <f ca="1">INDEX(SectionsTbl[Section Description],RANDBETWEEN(1,4))</f>
        <v>Section 4</v>
      </c>
      <c r="J92" s="6"/>
    </row>
    <row r="93" spans="1:10" ht="19.5" thickTop="1" thickBot="1" x14ac:dyDescent="0.5">
      <c r="A93" s="3" t="s">
        <v>34</v>
      </c>
      <c r="B93" s="3" t="b">
        <f>ISNUMBER(IndexTbl[[#This Row],[Class]])</f>
        <v>0</v>
      </c>
      <c r="C93" s="8" t="str">
        <f>TRIM(IndexTbl[[#This Row],[Prefix]]&amp;IF(NOT(IndexTbl[[#This Row],[Dewey Number]])," "&amp;IndexTbl[[#This Row],[Class]],""))</f>
        <v>E INTL-SPA</v>
      </c>
      <c r="D93" s="4" t="s">
        <v>74</v>
      </c>
      <c r="E93" s="4"/>
      <c r="F93" s="4" t="s">
        <v>257</v>
      </c>
      <c r="G93" s="3"/>
      <c r="H93" s="3" t="s">
        <v>73</v>
      </c>
      <c r="I93" s="20" t="str">
        <f ca="1">INDEX(SectionsTbl[Section Description],RANDBETWEEN(1,4))</f>
        <v>Section 3</v>
      </c>
      <c r="J93" s="6"/>
    </row>
    <row r="94" spans="1:10" ht="19.5" thickTop="1" thickBot="1" x14ac:dyDescent="0.5">
      <c r="A94" s="3" t="s">
        <v>34</v>
      </c>
      <c r="B94" s="3" t="b">
        <f>ISNUMBER(IndexTbl[[#This Row],[Class]])</f>
        <v>1</v>
      </c>
      <c r="C94" s="8" t="str">
        <f>TRIM(IndexTbl[[#This Row],[Prefix]]&amp;IF(NOT(IndexTbl[[#This Row],[Dewey Number]])," "&amp;IndexTbl[[#This Row],[Class]],""))</f>
        <v>E INTL-SPA</v>
      </c>
      <c r="D94" s="4" t="s">
        <v>84</v>
      </c>
      <c r="E94" s="4">
        <v>999.99</v>
      </c>
      <c r="F94" s="4" t="s">
        <v>252</v>
      </c>
      <c r="G94" s="3"/>
      <c r="H94" s="3" t="s">
        <v>83</v>
      </c>
      <c r="I94" s="20" t="str">
        <f ca="1">INDEX(SectionsTbl[Section Description],RANDBETWEEN(1,4))</f>
        <v>Section 1</v>
      </c>
      <c r="J94" s="6"/>
    </row>
    <row r="95" spans="1:10" ht="19.5" thickTop="1" thickBot="1" x14ac:dyDescent="0.5">
      <c r="A95" s="3" t="s">
        <v>34</v>
      </c>
      <c r="B95" s="3" t="b">
        <f>ISNUMBER(IndexTbl[[#This Row],[Class]])</f>
        <v>0</v>
      </c>
      <c r="C95" s="8" t="str">
        <f>TRIM(IndexTbl[[#This Row],[Prefix]]&amp;IF(NOT(IndexTbl[[#This Row],[Dewey Number]])," "&amp;IndexTbl[[#This Row],[Class]],""))</f>
        <v>J INTL-SPA</v>
      </c>
      <c r="D95" s="4" t="s">
        <v>114</v>
      </c>
      <c r="E95" s="4"/>
      <c r="F95" s="4" t="s">
        <v>258</v>
      </c>
      <c r="G95" s="3"/>
      <c r="H95" s="3" t="s">
        <v>113</v>
      </c>
      <c r="I95" s="20" t="str">
        <f ca="1">INDEX(SectionsTbl[Section Description],RANDBETWEEN(1,4))</f>
        <v>Section 3</v>
      </c>
      <c r="J95" s="6"/>
    </row>
    <row r="96" spans="1:10" ht="19.5" thickTop="1" thickBot="1" x14ac:dyDescent="0.5">
      <c r="A96" s="3" t="s">
        <v>34</v>
      </c>
      <c r="B96" s="3" t="b">
        <f>ISNUMBER(IndexTbl[[#This Row],[Class]])</f>
        <v>1</v>
      </c>
      <c r="C96" s="8" t="str">
        <f>TRIM(IndexTbl[[#This Row],[Prefix]]&amp;IF(NOT(IndexTbl[[#This Row],[Dewey Number]])," "&amp;IndexTbl[[#This Row],[Class]],""))</f>
        <v>J INTL-SPA</v>
      </c>
      <c r="D96" s="4" t="s">
        <v>114</v>
      </c>
      <c r="E96" s="4">
        <v>999.99</v>
      </c>
      <c r="F96" s="4" t="s">
        <v>252</v>
      </c>
      <c r="G96" s="3"/>
      <c r="H96" s="3" t="s">
        <v>121</v>
      </c>
      <c r="I96" s="20" t="str">
        <f ca="1">INDEX(SectionsTbl[Section Description],RANDBETWEEN(1,4))</f>
        <v>Section 2</v>
      </c>
      <c r="J96" s="6"/>
    </row>
    <row r="97" spans="1:10" ht="19.5" thickTop="1" thickBot="1" x14ac:dyDescent="0.5">
      <c r="A97" s="3" t="s">
        <v>34</v>
      </c>
      <c r="B97" s="3" t="b">
        <f>ISNUMBER(IndexTbl[[#This Row],[Class]])</f>
        <v>0</v>
      </c>
      <c r="C97" s="8" t="str">
        <f>TRIM(IndexTbl[[#This Row],[Prefix]]&amp;IF(NOT(IndexTbl[[#This Row],[Dewey Number]])," "&amp;IndexTbl[[#This Row],[Class]],""))</f>
        <v>J INTL-SPA BIO</v>
      </c>
      <c r="D97" s="4" t="s">
        <v>114</v>
      </c>
      <c r="E97" s="4" t="s">
        <v>59</v>
      </c>
      <c r="F97" s="4" t="s">
        <v>266</v>
      </c>
      <c r="G97" s="3"/>
      <c r="H97" s="3" t="s">
        <v>127</v>
      </c>
      <c r="I97" s="20" t="str">
        <f ca="1">INDEX(SectionsTbl[Section Description],RANDBETWEEN(1,4))</f>
        <v>Section 2</v>
      </c>
      <c r="J97" s="6"/>
    </row>
    <row r="98" spans="1:10" ht="19.5" thickTop="1" thickBot="1" x14ac:dyDescent="0.5">
      <c r="A98" s="3" t="s">
        <v>34</v>
      </c>
      <c r="B98" s="3" t="b">
        <f>ISNUMBER(IndexTbl[[#This Row],[Class]])</f>
        <v>0</v>
      </c>
      <c r="C98" s="8" t="str">
        <f>TRIM(IndexTbl[[#This Row],[Prefix]]&amp;IF(NOT(IndexTbl[[#This Row],[Dewey Number]])," "&amp;IndexTbl[[#This Row],[Class]],""))</f>
        <v>INTL-SPA FIC</v>
      </c>
      <c r="D98" s="4" t="s">
        <v>191</v>
      </c>
      <c r="E98" s="4" t="s">
        <v>183</v>
      </c>
      <c r="F98" s="4" t="s">
        <v>268</v>
      </c>
      <c r="G98" s="3"/>
      <c r="H98" s="3" t="s">
        <v>190</v>
      </c>
      <c r="I98" s="20" t="str">
        <f ca="1">INDEX(SectionsTbl[Section Description],RANDBETWEEN(1,4))</f>
        <v>Section 2</v>
      </c>
      <c r="J98" s="6"/>
    </row>
    <row r="99" spans="1:10" ht="19.5" thickTop="1" thickBot="1" x14ac:dyDescent="0.5">
      <c r="A99" s="3" t="s">
        <v>34</v>
      </c>
      <c r="B99" s="3" t="b">
        <f>ISNUMBER(IndexTbl[[#This Row],[Class]])</f>
        <v>1</v>
      </c>
      <c r="C99" s="8" t="str">
        <f>TRIM(IndexTbl[[#This Row],[Prefix]]&amp;IF(NOT(IndexTbl[[#This Row],[Dewey Number]])," "&amp;IndexTbl[[#This Row],[Class]],""))</f>
        <v>INTL-SPA</v>
      </c>
      <c r="D99" s="4" t="s">
        <v>191</v>
      </c>
      <c r="E99" s="4">
        <v>999.99</v>
      </c>
      <c r="F99" s="4" t="s">
        <v>269</v>
      </c>
      <c r="G99" s="3"/>
      <c r="H99" s="3" t="s">
        <v>198</v>
      </c>
      <c r="I99" s="20" t="str">
        <f ca="1">INDEX(SectionsTbl[Section Description],RANDBETWEEN(1,4))</f>
        <v>Section 4</v>
      </c>
      <c r="J99" s="6"/>
    </row>
    <row r="100" spans="1:10" ht="19.5" thickTop="1" thickBot="1" x14ac:dyDescent="0.5">
      <c r="A100" s="3" t="s">
        <v>34</v>
      </c>
      <c r="B100" s="3" t="b">
        <f>ISNUMBER(IndexTbl[[#This Row],[Class]])</f>
        <v>0</v>
      </c>
      <c r="C100" s="8" t="str">
        <f>TRIM(IndexTbl[[#This Row],[Prefix]]&amp;IF(NOT(IndexTbl[[#This Row],[Dewey Number]])," "&amp;IndexTbl[[#This Row],[Class]],""))</f>
        <v>INTL-SPA BIO</v>
      </c>
      <c r="D100" s="4" t="s">
        <v>191</v>
      </c>
      <c r="E100" s="4" t="s">
        <v>59</v>
      </c>
      <c r="F100" s="4" t="s">
        <v>266</v>
      </c>
      <c r="G100" s="3"/>
      <c r="H100" s="3" t="s">
        <v>204</v>
      </c>
      <c r="I100" s="20" t="str">
        <f ca="1">INDEX(SectionsTbl[Section Description],RANDBETWEEN(1,4))</f>
        <v>Section 4</v>
      </c>
      <c r="J100" s="6"/>
    </row>
    <row r="101" spans="1:10" ht="19.5" thickTop="1" thickBot="1" x14ac:dyDescent="0.5">
      <c r="A101" s="3" t="s">
        <v>34</v>
      </c>
      <c r="B101" s="3" t="b">
        <f>ISNUMBER(IndexTbl[[#This Row],[Class]])</f>
        <v>0</v>
      </c>
      <c r="C101" s="8" t="str">
        <f>TRIM(IndexTbl[[#This Row],[Prefix]]&amp;IF(NOT(IndexTbl[[#This Row],[Dewey Number]])," "&amp;IndexTbl[[#This Row],[Class]],""))</f>
        <v>TEEN INTL-SPA</v>
      </c>
      <c r="D101" s="4" t="s">
        <v>227</v>
      </c>
      <c r="E101" s="4"/>
      <c r="F101" s="4" t="s">
        <v>279</v>
      </c>
      <c r="G101" s="3"/>
      <c r="H101" s="3" t="s">
        <v>226</v>
      </c>
      <c r="I101" s="20" t="str">
        <f ca="1">INDEX(SectionsTbl[Section Description],RANDBETWEEN(1,4))</f>
        <v>Section 3</v>
      </c>
      <c r="J101" s="6"/>
    </row>
    <row r="102" spans="1:10" ht="19.5" thickTop="1" thickBot="1" x14ac:dyDescent="0.5">
      <c r="A102" s="3" t="s">
        <v>34</v>
      </c>
      <c r="B102" s="3" t="b">
        <f>ISNUMBER(IndexTbl[[#This Row],[Class]])</f>
        <v>1</v>
      </c>
      <c r="C102" s="8" t="str">
        <f>TRIM(IndexTbl[[#This Row],[Prefix]]&amp;IF(NOT(IndexTbl[[#This Row],[Dewey Number]])," "&amp;IndexTbl[[#This Row],[Class]],""))</f>
        <v>TEEN INTL-SPA</v>
      </c>
      <c r="D102" s="4" t="s">
        <v>227</v>
      </c>
      <c r="E102" s="4">
        <v>999.99</v>
      </c>
      <c r="F102" s="4" t="s">
        <v>280</v>
      </c>
      <c r="G102" s="3"/>
      <c r="H102" s="3" t="s">
        <v>234</v>
      </c>
      <c r="I102" s="20" t="str">
        <f ca="1">INDEX(SectionsTbl[Section Description],RANDBETWEEN(1,4))</f>
        <v>Section 1</v>
      </c>
      <c r="J102" s="6"/>
    </row>
    <row r="103" spans="1:10" ht="19.5" thickTop="1" thickBot="1" x14ac:dyDescent="0.5">
      <c r="A103" s="3" t="s">
        <v>34</v>
      </c>
      <c r="B103" s="3" t="b">
        <f>ISNUMBER(IndexTbl[[#This Row],[Class]])</f>
        <v>0</v>
      </c>
      <c r="C103" s="8" t="str">
        <f>TRIM(IndexTbl[[#This Row],[Prefix]]&amp;IF(NOT(IndexTbl[[#This Row],[Dewey Number]])," "&amp;IndexTbl[[#This Row],[Class]],""))</f>
        <v>TEEN INTL-SPA BIO</v>
      </c>
      <c r="D103" s="4" t="s">
        <v>227</v>
      </c>
      <c r="E103" s="4" t="s">
        <v>59</v>
      </c>
      <c r="F103" s="4" t="s">
        <v>266</v>
      </c>
      <c r="G103" s="3"/>
      <c r="H103" s="3" t="s">
        <v>241</v>
      </c>
      <c r="I103" s="20" t="str">
        <f ca="1">INDEX(SectionsTbl[Section Description],RANDBETWEEN(1,4))</f>
        <v>Section 1</v>
      </c>
      <c r="J103" s="6"/>
    </row>
    <row r="104" spans="1:10" ht="19.5" thickTop="1" thickBot="1" x14ac:dyDescent="0.5">
      <c r="A104" s="8" t="s">
        <v>309</v>
      </c>
      <c r="B104" s="8" t="b">
        <f>ISNUMBER(IndexTbl[[#This Row],[Class]])</f>
        <v>0</v>
      </c>
      <c r="C104" s="8" t="str">
        <f>TRIM(IndexTbl[[#This Row],[Prefix]]&amp;IF(NOT(IndexTbl[[#This Row],[Dewey Number]])," "&amp;IndexTbl[[#This Row],[Class]],""))</f>
        <v>E INTL-TAG</v>
      </c>
      <c r="D104" s="4" t="s">
        <v>313</v>
      </c>
      <c r="E104" s="4"/>
      <c r="F104" s="4" t="s">
        <v>257</v>
      </c>
      <c r="G104" s="3"/>
      <c r="H104" s="3" t="s">
        <v>317</v>
      </c>
      <c r="I104" s="20" t="str">
        <f ca="1">INDEX(SectionsTbl[Section Description],RANDBETWEEN(1,4))</f>
        <v>Section 4</v>
      </c>
      <c r="J104" s="6"/>
    </row>
    <row r="105" spans="1:10" ht="19.5" thickTop="1" thickBot="1" x14ac:dyDescent="0.5">
      <c r="A105" s="8" t="s">
        <v>309</v>
      </c>
      <c r="B105" s="8" t="b">
        <f>ISNUMBER(IndexTbl[[#This Row],[Class]])</f>
        <v>1</v>
      </c>
      <c r="C105" s="8" t="str">
        <f>TRIM(IndexTbl[[#This Row],[Prefix]]&amp;IF(NOT(IndexTbl[[#This Row],[Dewey Number]])," "&amp;IndexTbl[[#This Row],[Class]],""))</f>
        <v>E INTL-TAG</v>
      </c>
      <c r="D105" s="4" t="s">
        <v>313</v>
      </c>
      <c r="E105" s="4">
        <v>999.99</v>
      </c>
      <c r="F105" s="4" t="s">
        <v>252</v>
      </c>
      <c r="G105" s="3"/>
      <c r="H105" s="3" t="s">
        <v>318</v>
      </c>
      <c r="I105" s="20" t="str">
        <f ca="1">INDEX(SectionsTbl[Section Description],RANDBETWEEN(1,4))</f>
        <v>Section 4</v>
      </c>
      <c r="J105" s="6"/>
    </row>
    <row r="106" spans="1:10" ht="19.5" thickTop="1" thickBot="1" x14ac:dyDescent="0.5">
      <c r="A106" s="8" t="s">
        <v>309</v>
      </c>
      <c r="B106" s="8" t="b">
        <f>ISNUMBER(IndexTbl[[#This Row],[Class]])</f>
        <v>0</v>
      </c>
      <c r="C106" s="8" t="str">
        <f>TRIM(IndexTbl[[#This Row],[Prefix]]&amp;IF(NOT(IndexTbl[[#This Row],[Dewey Number]])," "&amp;IndexTbl[[#This Row],[Class]],""))</f>
        <v>J INTL-TAG</v>
      </c>
      <c r="D106" s="4" t="s">
        <v>314</v>
      </c>
      <c r="E106" s="4"/>
      <c r="F106" s="4" t="s">
        <v>258</v>
      </c>
      <c r="G106" s="3"/>
      <c r="H106" s="3" t="s">
        <v>319</v>
      </c>
      <c r="I106" s="20" t="str">
        <f ca="1">INDEX(SectionsTbl[Section Description],RANDBETWEEN(1,4))</f>
        <v>Section 2</v>
      </c>
      <c r="J106" s="6"/>
    </row>
    <row r="107" spans="1:10" ht="19.5" thickTop="1" thickBot="1" x14ac:dyDescent="0.5">
      <c r="A107" s="8" t="s">
        <v>309</v>
      </c>
      <c r="B107" s="8" t="b">
        <f>ISNUMBER(IndexTbl[[#This Row],[Class]])</f>
        <v>1</v>
      </c>
      <c r="C107" s="8" t="str">
        <f>TRIM(IndexTbl[[#This Row],[Prefix]]&amp;IF(NOT(IndexTbl[[#This Row],[Dewey Number]])," "&amp;IndexTbl[[#This Row],[Class]],""))</f>
        <v>J INTL-TAG</v>
      </c>
      <c r="D107" s="4" t="s">
        <v>314</v>
      </c>
      <c r="E107" s="4">
        <v>999.99</v>
      </c>
      <c r="F107" s="4" t="s">
        <v>252</v>
      </c>
      <c r="G107" s="3"/>
      <c r="H107" s="3" t="s">
        <v>320</v>
      </c>
      <c r="I107" s="20" t="str">
        <f ca="1">INDEX(SectionsTbl[Section Description],RANDBETWEEN(1,4))</f>
        <v>Section 2</v>
      </c>
      <c r="J107" s="6"/>
    </row>
    <row r="108" spans="1:10" ht="19.5" thickTop="1" thickBot="1" x14ac:dyDescent="0.5">
      <c r="A108" s="8" t="s">
        <v>309</v>
      </c>
      <c r="B108" s="8" t="b">
        <f>ISNUMBER(IndexTbl[[#This Row],[Class]])</f>
        <v>0</v>
      </c>
      <c r="C108" s="8" t="str">
        <f>TRIM(IndexTbl[[#This Row],[Prefix]]&amp;IF(NOT(IndexTbl[[#This Row],[Dewey Number]])," "&amp;IndexTbl[[#This Row],[Class]],""))</f>
        <v>J INTL-TAG BIO</v>
      </c>
      <c r="D108" s="4" t="s">
        <v>314</v>
      </c>
      <c r="E108" s="4" t="s">
        <v>59</v>
      </c>
      <c r="F108" s="4" t="s">
        <v>266</v>
      </c>
      <c r="G108" s="3"/>
      <c r="H108" s="3" t="s">
        <v>321</v>
      </c>
      <c r="I108" s="20" t="str">
        <f ca="1">INDEX(SectionsTbl[Section Description],RANDBETWEEN(1,4))</f>
        <v>Section 4</v>
      </c>
      <c r="J108" s="6"/>
    </row>
    <row r="109" spans="1:10" ht="19.5" thickTop="1" thickBot="1" x14ac:dyDescent="0.5">
      <c r="A109" s="8" t="s">
        <v>309</v>
      </c>
      <c r="B109" s="8" t="b">
        <f>ISNUMBER(IndexTbl[[#This Row],[Class]])</f>
        <v>0</v>
      </c>
      <c r="C109" s="8" t="str">
        <f>TRIM(IndexTbl[[#This Row],[Prefix]]&amp;IF(NOT(IndexTbl[[#This Row],[Dewey Number]])," "&amp;IndexTbl[[#This Row],[Class]],""))</f>
        <v>INTL-TAG FIC</v>
      </c>
      <c r="D109" s="4" t="s">
        <v>315</v>
      </c>
      <c r="E109" s="4" t="s">
        <v>183</v>
      </c>
      <c r="F109" s="4" t="s">
        <v>268</v>
      </c>
      <c r="G109" s="3"/>
      <c r="H109" s="3" t="s">
        <v>322</v>
      </c>
      <c r="I109" s="20" t="str">
        <f ca="1">INDEX(SectionsTbl[Section Description],RANDBETWEEN(1,4))</f>
        <v>Section 2</v>
      </c>
      <c r="J109" s="6"/>
    </row>
    <row r="110" spans="1:10" ht="19.5" thickTop="1" thickBot="1" x14ac:dyDescent="0.5">
      <c r="A110" s="8" t="s">
        <v>309</v>
      </c>
      <c r="B110" s="8" t="b">
        <f>ISNUMBER(IndexTbl[[#This Row],[Class]])</f>
        <v>1</v>
      </c>
      <c r="C110" s="8" t="str">
        <f>TRIM(IndexTbl[[#This Row],[Prefix]]&amp;IF(NOT(IndexTbl[[#This Row],[Dewey Number]])," "&amp;IndexTbl[[#This Row],[Class]],""))</f>
        <v>INTL-TAG</v>
      </c>
      <c r="D110" s="4" t="s">
        <v>315</v>
      </c>
      <c r="E110" s="4">
        <v>999.99</v>
      </c>
      <c r="F110" s="4" t="s">
        <v>269</v>
      </c>
      <c r="G110" s="3"/>
      <c r="H110" s="3" t="s">
        <v>323</v>
      </c>
      <c r="I110" s="20" t="str">
        <f ca="1">INDEX(SectionsTbl[Section Description],RANDBETWEEN(1,4))</f>
        <v>Section 3</v>
      </c>
      <c r="J110" s="6"/>
    </row>
    <row r="111" spans="1:10" ht="19.5" thickTop="1" thickBot="1" x14ac:dyDescent="0.5">
      <c r="A111" s="8" t="s">
        <v>309</v>
      </c>
      <c r="B111" s="8" t="b">
        <f>ISNUMBER(IndexTbl[[#This Row],[Class]])</f>
        <v>0</v>
      </c>
      <c r="C111" s="8" t="str">
        <f>TRIM(IndexTbl[[#This Row],[Prefix]]&amp;IF(NOT(IndexTbl[[#This Row],[Dewey Number]])," "&amp;IndexTbl[[#This Row],[Class]],""))</f>
        <v>INTL-TAG BIO</v>
      </c>
      <c r="D111" s="4" t="s">
        <v>315</v>
      </c>
      <c r="E111" s="4" t="s">
        <v>59</v>
      </c>
      <c r="F111" s="4" t="s">
        <v>266</v>
      </c>
      <c r="G111" s="3"/>
      <c r="H111" s="3" t="s">
        <v>327</v>
      </c>
      <c r="I111" s="20" t="str">
        <f ca="1">INDEX(SectionsTbl[Section Description],RANDBETWEEN(1,4))</f>
        <v>Section 1</v>
      </c>
      <c r="J111" s="6"/>
    </row>
    <row r="112" spans="1:10" ht="19.5" thickTop="1" thickBot="1" x14ac:dyDescent="0.5">
      <c r="A112" s="8" t="s">
        <v>309</v>
      </c>
      <c r="B112" s="8" t="b">
        <f>ISNUMBER(IndexTbl[[#This Row],[Class]])</f>
        <v>0</v>
      </c>
      <c r="C112" s="8" t="str">
        <f>TRIM(IndexTbl[[#This Row],[Prefix]]&amp;IF(NOT(IndexTbl[[#This Row],[Dewey Number]])," "&amp;IndexTbl[[#This Row],[Class]],""))</f>
        <v>TEEN INTL-TAG</v>
      </c>
      <c r="D112" s="4" t="s">
        <v>316</v>
      </c>
      <c r="E112" s="4"/>
      <c r="F112" s="4" t="s">
        <v>279</v>
      </c>
      <c r="G112" s="3"/>
      <c r="H112" s="3" t="s">
        <v>326</v>
      </c>
      <c r="I112" s="20" t="str">
        <f ca="1">INDEX(SectionsTbl[Section Description],RANDBETWEEN(1,4))</f>
        <v>Section 2</v>
      </c>
      <c r="J112" s="6"/>
    </row>
    <row r="113" spans="1:10" ht="19.5" thickTop="1" thickBot="1" x14ac:dyDescent="0.5">
      <c r="A113" s="8" t="s">
        <v>309</v>
      </c>
      <c r="B113" s="8" t="b">
        <f>ISNUMBER(IndexTbl[[#This Row],[Class]])</f>
        <v>1</v>
      </c>
      <c r="C113" s="8" t="str">
        <f>TRIM(IndexTbl[[#This Row],[Prefix]]&amp;IF(NOT(IndexTbl[[#This Row],[Dewey Number]])," "&amp;IndexTbl[[#This Row],[Class]],""))</f>
        <v>TEEN INTL-TAG</v>
      </c>
      <c r="D113" s="4" t="s">
        <v>316</v>
      </c>
      <c r="E113" s="4">
        <v>999.99</v>
      </c>
      <c r="F113" s="4" t="s">
        <v>280</v>
      </c>
      <c r="G113" s="3"/>
      <c r="H113" s="3" t="s">
        <v>325</v>
      </c>
      <c r="I113" s="20" t="str">
        <f ca="1">INDEX(SectionsTbl[Section Description],RANDBETWEEN(1,4))</f>
        <v>Section 1</v>
      </c>
      <c r="J113" s="6"/>
    </row>
    <row r="114" spans="1:10" ht="19.5" thickTop="1" thickBot="1" x14ac:dyDescent="0.5">
      <c r="A114" s="8" t="s">
        <v>309</v>
      </c>
      <c r="B114" s="8" t="b">
        <f>ISNUMBER(IndexTbl[[#This Row],[Class]])</f>
        <v>0</v>
      </c>
      <c r="C114" s="8" t="str">
        <f>TRIM(IndexTbl[[#This Row],[Prefix]]&amp;IF(NOT(IndexTbl[[#This Row],[Dewey Number]])," "&amp;IndexTbl[[#This Row],[Class]],""))</f>
        <v>TEEN INTL-TAG BIO</v>
      </c>
      <c r="D114" s="4" t="s">
        <v>316</v>
      </c>
      <c r="E114" s="4" t="s">
        <v>59</v>
      </c>
      <c r="F114" s="4" t="s">
        <v>266</v>
      </c>
      <c r="G114" s="3"/>
      <c r="H114" s="3" t="s">
        <v>324</v>
      </c>
      <c r="I114" s="20" t="str">
        <f ca="1">INDEX(SectionsTbl[Section Description],RANDBETWEEN(1,4))</f>
        <v>Section 1</v>
      </c>
      <c r="J114" s="6"/>
    </row>
    <row r="115" spans="1:10" ht="19.5" thickTop="1" thickBot="1" x14ac:dyDescent="0.5">
      <c r="A115" s="3" t="s">
        <v>35</v>
      </c>
      <c r="B115" s="3" t="b">
        <f>ISNUMBER(IndexTbl[[#This Row],[Class]])</f>
        <v>0</v>
      </c>
      <c r="C115" s="8" t="str">
        <f>TRIM(IndexTbl[[#This Row],[Prefix]]&amp;IF(NOT(IndexTbl[[#This Row],[Dewey Number]])," "&amp;IndexTbl[[#This Row],[Class]],""))</f>
        <v>E INTL-VIE</v>
      </c>
      <c r="D115" s="4" t="s">
        <v>76</v>
      </c>
      <c r="E115" s="4"/>
      <c r="F115" s="4" t="s">
        <v>257</v>
      </c>
      <c r="G115" s="3"/>
      <c r="H115" s="3" t="s">
        <v>75</v>
      </c>
      <c r="I115" s="20" t="str">
        <f ca="1">INDEX(SectionsTbl[Section Description],RANDBETWEEN(1,4))</f>
        <v>Section 4</v>
      </c>
      <c r="J115" s="6"/>
    </row>
    <row r="116" spans="1:10" ht="19.5" thickTop="1" thickBot="1" x14ac:dyDescent="0.5">
      <c r="A116" s="3" t="s">
        <v>35</v>
      </c>
      <c r="B116" s="3" t="b">
        <f>ISNUMBER(IndexTbl[[#This Row],[Class]])</f>
        <v>1</v>
      </c>
      <c r="C116" s="8" t="str">
        <f>TRIM(IndexTbl[[#This Row],[Prefix]]&amp;IF(NOT(IndexTbl[[#This Row],[Dewey Number]])," "&amp;IndexTbl[[#This Row],[Class]],""))</f>
        <v>E INTL-VIE</v>
      </c>
      <c r="D116" s="4" t="s">
        <v>86</v>
      </c>
      <c r="E116" s="4">
        <v>999.99</v>
      </c>
      <c r="F116" s="4" t="s">
        <v>252</v>
      </c>
      <c r="G116" s="3"/>
      <c r="H116" s="3" t="s">
        <v>85</v>
      </c>
      <c r="I116" s="20" t="str">
        <f ca="1">INDEX(SectionsTbl[Section Description],RANDBETWEEN(1,4))</f>
        <v>Section 4</v>
      </c>
      <c r="J116" s="6"/>
    </row>
    <row r="117" spans="1:10" ht="19.5" thickTop="1" thickBot="1" x14ac:dyDescent="0.5">
      <c r="A117" s="3" t="s">
        <v>35</v>
      </c>
      <c r="B117" s="3" t="b">
        <f>ISNUMBER(IndexTbl[[#This Row],[Class]])</f>
        <v>0</v>
      </c>
      <c r="C117" s="8" t="str">
        <f>TRIM(IndexTbl[[#This Row],[Prefix]]&amp;IF(NOT(IndexTbl[[#This Row],[Dewey Number]])," "&amp;IndexTbl[[#This Row],[Class]],""))</f>
        <v>J INTL-VIE</v>
      </c>
      <c r="D117" s="4" t="s">
        <v>116</v>
      </c>
      <c r="E117" s="4"/>
      <c r="F117" s="4" t="s">
        <v>258</v>
      </c>
      <c r="G117" s="3"/>
      <c r="H117" s="3" t="s">
        <v>115</v>
      </c>
      <c r="I117" s="20" t="str">
        <f ca="1">INDEX(SectionsTbl[Section Description],RANDBETWEEN(1,4))</f>
        <v>Section 4</v>
      </c>
      <c r="J117" s="6"/>
    </row>
    <row r="118" spans="1:10" ht="33" thickTop="1" thickBot="1" x14ac:dyDescent="0.5">
      <c r="A118" s="3" t="s">
        <v>35</v>
      </c>
      <c r="B118" s="3" t="b">
        <f>ISNUMBER(IndexTbl[[#This Row],[Class]])</f>
        <v>1</v>
      </c>
      <c r="C118" s="8" t="str">
        <f>TRIM(IndexTbl[[#This Row],[Prefix]]&amp;IF(NOT(IndexTbl[[#This Row],[Dewey Number]])," "&amp;IndexTbl[[#This Row],[Class]],""))</f>
        <v>J INTL-VIE</v>
      </c>
      <c r="D118" s="4" t="s">
        <v>116</v>
      </c>
      <c r="E118" s="4">
        <v>999.99</v>
      </c>
      <c r="F118" s="4" t="s">
        <v>252</v>
      </c>
      <c r="G118" s="3"/>
      <c r="H118" s="3" t="s">
        <v>122</v>
      </c>
      <c r="I118" s="20" t="str">
        <f ca="1">INDEX(SectionsTbl[Section Description],RANDBETWEEN(1,4))</f>
        <v>Section 2</v>
      </c>
      <c r="J118" s="6"/>
    </row>
    <row r="119" spans="1:10" ht="19.5" thickTop="1" thickBot="1" x14ac:dyDescent="0.5">
      <c r="A119" s="3" t="s">
        <v>35</v>
      </c>
      <c r="B119" s="3" t="b">
        <f>ISNUMBER(IndexTbl[[#This Row],[Class]])</f>
        <v>0</v>
      </c>
      <c r="C119" s="8" t="str">
        <f>TRIM(IndexTbl[[#This Row],[Prefix]]&amp;IF(NOT(IndexTbl[[#This Row],[Dewey Number]])," "&amp;IndexTbl[[#This Row],[Class]],""))</f>
        <v>J INTL-VIE BIO</v>
      </c>
      <c r="D119" s="4" t="s">
        <v>116</v>
      </c>
      <c r="E119" s="4" t="s">
        <v>59</v>
      </c>
      <c r="F119" s="4" t="s">
        <v>266</v>
      </c>
      <c r="G119" s="3"/>
      <c r="H119" s="3" t="s">
        <v>128</v>
      </c>
      <c r="I119" s="20" t="str">
        <f ca="1">INDEX(SectionsTbl[Section Description],RANDBETWEEN(1,4))</f>
        <v>Section 2</v>
      </c>
      <c r="J119" s="6"/>
    </row>
    <row r="120" spans="1:10" ht="19.5" thickTop="1" thickBot="1" x14ac:dyDescent="0.5">
      <c r="A120" s="3" t="s">
        <v>35</v>
      </c>
      <c r="B120" s="3" t="b">
        <f>ISNUMBER(IndexTbl[[#This Row],[Class]])</f>
        <v>0</v>
      </c>
      <c r="C120" s="8" t="str">
        <f>TRIM(IndexTbl[[#This Row],[Prefix]]&amp;IF(NOT(IndexTbl[[#This Row],[Dewey Number]])," "&amp;IndexTbl[[#This Row],[Class]],""))</f>
        <v>INTL-VIE FIC</v>
      </c>
      <c r="D120" s="4" t="s">
        <v>193</v>
      </c>
      <c r="E120" s="4" t="s">
        <v>183</v>
      </c>
      <c r="F120" s="4" t="s">
        <v>268</v>
      </c>
      <c r="G120" s="3"/>
      <c r="H120" s="3" t="s">
        <v>192</v>
      </c>
      <c r="I120" s="20" t="str">
        <f ca="1">INDEX(SectionsTbl[Section Description],RANDBETWEEN(1,4))</f>
        <v>Section 4</v>
      </c>
      <c r="J120" s="6"/>
    </row>
    <row r="121" spans="1:10" ht="19.5" thickTop="1" thickBot="1" x14ac:dyDescent="0.5">
      <c r="A121" s="3" t="s">
        <v>35</v>
      </c>
      <c r="B121" s="3" t="b">
        <f>ISNUMBER(IndexTbl[[#This Row],[Class]])</f>
        <v>1</v>
      </c>
      <c r="C121" s="8" t="str">
        <f>TRIM(IndexTbl[[#This Row],[Prefix]]&amp;IF(NOT(IndexTbl[[#This Row],[Dewey Number]])," "&amp;IndexTbl[[#This Row],[Class]],""))</f>
        <v>INTL-VIE</v>
      </c>
      <c r="D121" s="4" t="s">
        <v>193</v>
      </c>
      <c r="E121" s="4">
        <v>999.99</v>
      </c>
      <c r="F121" s="4" t="s">
        <v>269</v>
      </c>
      <c r="G121" s="3"/>
      <c r="H121" s="3" t="s">
        <v>199</v>
      </c>
      <c r="I121" s="20" t="str">
        <f ca="1">INDEX(SectionsTbl[Section Description],RANDBETWEEN(1,4))</f>
        <v>Section 1</v>
      </c>
      <c r="J121" s="6"/>
    </row>
    <row r="122" spans="1:10" ht="19.5" thickTop="1" thickBot="1" x14ac:dyDescent="0.5">
      <c r="A122" s="3" t="s">
        <v>35</v>
      </c>
      <c r="B122" s="3" t="b">
        <f>ISNUMBER(IndexTbl[[#This Row],[Class]])</f>
        <v>0</v>
      </c>
      <c r="C122" s="8" t="str">
        <f>TRIM(IndexTbl[[#This Row],[Prefix]]&amp;IF(NOT(IndexTbl[[#This Row],[Dewey Number]])," "&amp;IndexTbl[[#This Row],[Class]],""))</f>
        <v>INTL-VIE BIO</v>
      </c>
      <c r="D122" s="4" t="s">
        <v>193</v>
      </c>
      <c r="E122" s="4" t="s">
        <v>59</v>
      </c>
      <c r="F122" s="4" t="s">
        <v>266</v>
      </c>
      <c r="G122" s="3"/>
      <c r="H122" s="3" t="s">
        <v>205</v>
      </c>
      <c r="I122" s="20" t="str">
        <f ca="1">INDEX(SectionsTbl[Section Description],RANDBETWEEN(1,4))</f>
        <v>Section 1</v>
      </c>
      <c r="J122" s="6"/>
    </row>
    <row r="123" spans="1:10" ht="19.5" thickTop="1" thickBot="1" x14ac:dyDescent="0.5">
      <c r="A123" s="3" t="s">
        <v>35</v>
      </c>
      <c r="B123" s="3" t="b">
        <f>ISNUMBER(IndexTbl[[#This Row],[Class]])</f>
        <v>0</v>
      </c>
      <c r="C123" s="8" t="str">
        <f>TRIM(IndexTbl[[#This Row],[Prefix]]&amp;IF(NOT(IndexTbl[[#This Row],[Dewey Number]])," "&amp;IndexTbl[[#This Row],[Class]],""))</f>
        <v>TEEN INTL-VIE</v>
      </c>
      <c r="D123" s="4" t="s">
        <v>229</v>
      </c>
      <c r="E123" s="4"/>
      <c r="F123" s="4" t="s">
        <v>279</v>
      </c>
      <c r="G123" s="3"/>
      <c r="H123" s="3" t="s">
        <v>228</v>
      </c>
      <c r="I123" s="20" t="str">
        <f ca="1">INDEX(SectionsTbl[Section Description],RANDBETWEEN(1,4))</f>
        <v>Section 4</v>
      </c>
      <c r="J123" s="6"/>
    </row>
    <row r="124" spans="1:10" ht="19.5" thickTop="1" thickBot="1" x14ac:dyDescent="0.5">
      <c r="A124" s="3" t="s">
        <v>35</v>
      </c>
      <c r="B124" s="3" t="b">
        <f>ISNUMBER(IndexTbl[[#This Row],[Class]])</f>
        <v>1</v>
      </c>
      <c r="C124" s="8" t="str">
        <f>TRIM(IndexTbl[[#This Row],[Prefix]]&amp;IF(NOT(IndexTbl[[#This Row],[Dewey Number]])," "&amp;IndexTbl[[#This Row],[Class]],""))</f>
        <v>TEEN INTL-VIE</v>
      </c>
      <c r="D124" s="4" t="s">
        <v>229</v>
      </c>
      <c r="E124" s="4">
        <v>999.99</v>
      </c>
      <c r="F124" s="4" t="s">
        <v>280</v>
      </c>
      <c r="G124" s="3"/>
      <c r="H124" s="3" t="s">
        <v>235</v>
      </c>
      <c r="I124" s="20" t="str">
        <f ca="1">INDEX(SectionsTbl[Section Description],RANDBETWEEN(1,4))</f>
        <v>Section 3</v>
      </c>
      <c r="J124" s="6"/>
    </row>
    <row r="125" spans="1:10" ht="19.5" thickTop="1" thickBot="1" x14ac:dyDescent="0.5">
      <c r="A125" s="3" t="s">
        <v>35</v>
      </c>
      <c r="B125" s="3" t="b">
        <f>ISNUMBER(IndexTbl[[#This Row],[Class]])</f>
        <v>0</v>
      </c>
      <c r="C125" s="8" t="str">
        <f>TRIM(IndexTbl[[#This Row],[Prefix]]&amp;IF(NOT(IndexTbl[[#This Row],[Dewey Number]])," "&amp;IndexTbl[[#This Row],[Class]],""))</f>
        <v>TEEN INTL-VIE BIO</v>
      </c>
      <c r="D125" s="4" t="s">
        <v>229</v>
      </c>
      <c r="E125" s="4" t="s">
        <v>59</v>
      </c>
      <c r="F125" s="4" t="s">
        <v>266</v>
      </c>
      <c r="G125" s="3"/>
      <c r="H125" s="3" t="s">
        <v>242</v>
      </c>
      <c r="I125" s="20" t="str">
        <f ca="1">INDEX(SectionsTbl[Section Description],RANDBETWEEN(1,4))</f>
        <v>Section 2</v>
      </c>
      <c r="J125" s="6"/>
    </row>
    <row r="126" spans="1:10" ht="19.5" thickTop="1" thickBot="1" x14ac:dyDescent="0.5">
      <c r="A126" s="3" t="s">
        <v>5</v>
      </c>
      <c r="B126" s="3" t="b">
        <f>ISNUMBER(IndexTbl[[#This Row],[Class]])</f>
        <v>0</v>
      </c>
      <c r="C126" s="8" t="str">
        <f>TRIM(IndexTbl[[#This Row],[Prefix]]&amp;IF(NOT(IndexTbl[[#This Row],[Dewey Number]])," "&amp;IndexTbl[[#This Row],[Class]],""))</f>
        <v>DVD</v>
      </c>
      <c r="D126" s="4" t="s">
        <v>52</v>
      </c>
      <c r="E126" s="4"/>
      <c r="F126" s="4" t="s">
        <v>273</v>
      </c>
      <c r="G126" s="3"/>
      <c r="H126" s="3" t="s">
        <v>141</v>
      </c>
      <c r="I126" s="20" t="str">
        <f ca="1">INDEX(SectionsTbl[Section Description],RANDBETWEEN(1,4))</f>
        <v>Section 1</v>
      </c>
      <c r="J126" s="6"/>
    </row>
    <row r="127" spans="1:10" ht="19.5" thickTop="1" thickBot="1" x14ac:dyDescent="0.5">
      <c r="A127" s="8" t="s">
        <v>305</v>
      </c>
      <c r="B127" s="8" t="b">
        <f>ISNUMBER(IndexTbl[[#This Row],[Class]])</f>
        <v>0</v>
      </c>
      <c r="C127" s="8" t="str">
        <f>TRIM(IndexTbl[[#This Row],[Prefix]]&amp;IF(NOT(IndexTbl[[#This Row],[Dewey Number]])," "&amp;IndexTbl[[#This Row],[Class]],""))</f>
        <v>DVD</v>
      </c>
      <c r="D127" s="9" t="s">
        <v>52</v>
      </c>
      <c r="E127" s="4"/>
      <c r="F127" s="4" t="s">
        <v>273</v>
      </c>
      <c r="G127" s="3"/>
      <c r="H127" s="3" t="s">
        <v>141</v>
      </c>
      <c r="I127" s="20" t="str">
        <f ca="1">INDEX(SectionsTbl[Section Description],RANDBETWEEN(1,4))</f>
        <v>Section 3</v>
      </c>
      <c r="J127" s="6"/>
    </row>
    <row r="128" spans="1:10" ht="19.5" thickTop="1" thickBot="1" x14ac:dyDescent="0.5">
      <c r="A128" s="3" t="s">
        <v>6</v>
      </c>
      <c r="B128" s="3" t="b">
        <f>ISNUMBER(IndexTbl[[#This Row],[Class]])</f>
        <v>0</v>
      </c>
      <c r="C128" s="8" t="str">
        <f>TRIM(IndexTbl[[#This Row],[Prefix]]&amp;IF(NOT(IndexTbl[[#This Row],[Dewey Number]])," "&amp;IndexTbl[[#This Row],[Class]],""))</f>
        <v>DVD</v>
      </c>
      <c r="D128" s="4" t="s">
        <v>52</v>
      </c>
      <c r="E128" s="4"/>
      <c r="F128" s="4" t="s">
        <v>273</v>
      </c>
      <c r="G128" s="3"/>
      <c r="H128" s="3" t="s">
        <v>141</v>
      </c>
      <c r="I128" s="20" t="str">
        <f ca="1">INDEX(SectionsTbl[Section Description],RANDBETWEEN(1,4))</f>
        <v>Section 1</v>
      </c>
      <c r="J128" s="6"/>
    </row>
    <row r="129" spans="1:10" ht="19.5" thickTop="1" thickBot="1" x14ac:dyDescent="0.5">
      <c r="A129" s="3" t="s">
        <v>8</v>
      </c>
      <c r="B129" s="3" t="b">
        <f>ISNUMBER(IndexTbl[[#This Row],[Class]])</f>
        <v>0</v>
      </c>
      <c r="C129" s="8" t="str">
        <f>TRIM(IndexTbl[[#This Row],[Prefix]]&amp;IF(NOT(IndexTbl[[#This Row],[Dewey Number]])," "&amp;IndexTbl[[#This Row],[Class]],""))</f>
        <v>DVD</v>
      </c>
      <c r="D129" s="4" t="s">
        <v>52</v>
      </c>
      <c r="E129" s="4"/>
      <c r="F129" s="4" t="s">
        <v>273</v>
      </c>
      <c r="G129" s="3"/>
      <c r="H129" s="3" t="s">
        <v>141</v>
      </c>
      <c r="I129" s="20" t="str">
        <f ca="1">INDEX(SectionsTbl[Section Description],RANDBETWEEN(1,4))</f>
        <v>Section 3</v>
      </c>
      <c r="J129" s="6"/>
    </row>
    <row r="130" spans="1:10" ht="19.5" thickTop="1" thickBot="1" x14ac:dyDescent="0.5">
      <c r="A130" s="3" t="s">
        <v>9</v>
      </c>
      <c r="B130" s="3" t="b">
        <f>ISNUMBER(IndexTbl[[#This Row],[Class]])</f>
        <v>0</v>
      </c>
      <c r="C130" s="8" t="str">
        <f>TRIM(IndexTbl[[#This Row],[Prefix]]&amp;IF(NOT(IndexTbl[[#This Row],[Dewey Number]])," "&amp;IndexTbl[[#This Row],[Class]],""))</f>
        <v>DVD</v>
      </c>
      <c r="D130" s="4" t="s">
        <v>52</v>
      </c>
      <c r="E130" s="4"/>
      <c r="F130" s="4" t="s">
        <v>273</v>
      </c>
      <c r="G130" s="3"/>
      <c r="H130" s="3" t="s">
        <v>141</v>
      </c>
      <c r="I130" s="20" t="str">
        <f ca="1">INDEX(SectionsTbl[Section Description],RANDBETWEEN(1,4))</f>
        <v>Section 4</v>
      </c>
      <c r="J130" s="6"/>
    </row>
    <row r="131" spans="1:10" ht="19.5" thickTop="1" thickBot="1" x14ac:dyDescent="0.5">
      <c r="A131" s="3" t="s">
        <v>10</v>
      </c>
      <c r="B131" s="3" t="b">
        <f>ISNUMBER(IndexTbl[[#This Row],[Class]])</f>
        <v>0</v>
      </c>
      <c r="C131" s="8" t="str">
        <f>TRIM(IndexTbl[[#This Row],[Prefix]]&amp;IF(NOT(IndexTbl[[#This Row],[Dewey Number]])," "&amp;IndexTbl[[#This Row],[Class]],""))</f>
        <v>DVD</v>
      </c>
      <c r="D131" s="4" t="s">
        <v>52</v>
      </c>
      <c r="E131" s="4"/>
      <c r="F131" s="4" t="s">
        <v>273</v>
      </c>
      <c r="G131" s="3"/>
      <c r="H131" s="3" t="s">
        <v>141</v>
      </c>
      <c r="I131" s="20" t="str">
        <f ca="1">INDEX(SectionsTbl[Section Description],RANDBETWEEN(1,4))</f>
        <v>Section 3</v>
      </c>
      <c r="J131" s="6"/>
    </row>
    <row r="132" spans="1:10" ht="19.5" thickTop="1" thickBot="1" x14ac:dyDescent="0.5">
      <c r="A132" s="3" t="s">
        <v>11</v>
      </c>
      <c r="B132" s="3" t="b">
        <f>ISNUMBER(IndexTbl[[#This Row],[Class]])</f>
        <v>0</v>
      </c>
      <c r="C132" s="8" t="str">
        <f>TRIM(IndexTbl[[#This Row],[Prefix]]&amp;IF(NOT(IndexTbl[[#This Row],[Dewey Number]])," "&amp;IndexTbl[[#This Row],[Class]],""))</f>
        <v>DVD</v>
      </c>
      <c r="D132" s="4" t="s">
        <v>52</v>
      </c>
      <c r="E132" s="4"/>
      <c r="F132" s="4" t="s">
        <v>273</v>
      </c>
      <c r="G132" s="3"/>
      <c r="H132" s="3" t="s">
        <v>141</v>
      </c>
      <c r="I132" s="20" t="str">
        <f ca="1">INDEX(SectionsTbl[Section Description],RANDBETWEEN(1,4))</f>
        <v>Section 2</v>
      </c>
      <c r="J132" s="6"/>
    </row>
    <row r="133" spans="1:10" ht="19.5" thickTop="1" thickBot="1" x14ac:dyDescent="0.5">
      <c r="A133" s="3" t="s">
        <v>12</v>
      </c>
      <c r="B133" s="3" t="b">
        <f>ISNUMBER(IndexTbl[[#This Row],[Class]])</f>
        <v>0</v>
      </c>
      <c r="C133" s="8" t="str">
        <f>TRIM(IndexTbl[[#This Row],[Prefix]]&amp;IF(NOT(IndexTbl[[#This Row],[Dewey Number]])," "&amp;IndexTbl[[#This Row],[Class]],""))</f>
        <v>DVD</v>
      </c>
      <c r="D133" s="4" t="s">
        <v>52</v>
      </c>
      <c r="E133" s="4"/>
      <c r="F133" s="4" t="s">
        <v>273</v>
      </c>
      <c r="G133" s="3"/>
      <c r="H133" s="3" t="s">
        <v>141</v>
      </c>
      <c r="I133" s="20" t="str">
        <f ca="1">INDEX(SectionsTbl[Section Description],RANDBETWEEN(1,4))</f>
        <v>Section 2</v>
      </c>
      <c r="J133" s="6"/>
    </row>
    <row r="134" spans="1:10" ht="19.5" thickTop="1" thickBot="1" x14ac:dyDescent="0.5">
      <c r="A134" s="3" t="s">
        <v>7</v>
      </c>
      <c r="B134" s="3" t="b">
        <f>ISNUMBER(IndexTbl[[#This Row],[Class]])</f>
        <v>0</v>
      </c>
      <c r="C134" s="8" t="str">
        <f>TRIM(IndexTbl[[#This Row],[Prefix]]&amp;IF(NOT(IndexTbl[[#This Row],[Dewey Number]])," "&amp;IndexTbl[[#This Row],[Class]],""))</f>
        <v>DVD</v>
      </c>
      <c r="D134" s="4" t="s">
        <v>52</v>
      </c>
      <c r="E134" s="4"/>
      <c r="F134" s="4" t="s">
        <v>273</v>
      </c>
      <c r="G134" s="3"/>
      <c r="H134" s="3" t="s">
        <v>141</v>
      </c>
      <c r="I134" s="20" t="str">
        <f ca="1">INDEX(SectionsTbl[Section Description],RANDBETWEEN(1,4))</f>
        <v>Section 2</v>
      </c>
      <c r="J134" s="6"/>
    </row>
    <row r="135" spans="1:10" ht="19.5" thickTop="1" thickBot="1" x14ac:dyDescent="0.5">
      <c r="A135" s="3" t="s">
        <v>13</v>
      </c>
      <c r="B135" s="3" t="b">
        <f>ISNUMBER(IndexTbl[[#This Row],[Class]])</f>
        <v>0</v>
      </c>
      <c r="C135" s="8" t="str">
        <f>TRIM(IndexTbl[[#This Row],[Prefix]]&amp;IF(NOT(IndexTbl[[#This Row],[Dewey Number]])," "&amp;IndexTbl[[#This Row],[Class]],""))</f>
        <v>DVD</v>
      </c>
      <c r="D135" s="4" t="s">
        <v>52</v>
      </c>
      <c r="E135" s="4"/>
      <c r="F135" s="4" t="s">
        <v>273</v>
      </c>
      <c r="G135" s="3"/>
      <c r="H135" s="3" t="s">
        <v>141</v>
      </c>
      <c r="I135" s="20" t="str">
        <f ca="1">INDEX(SectionsTbl[Section Description],RANDBETWEEN(1,4))</f>
        <v>Section 4</v>
      </c>
      <c r="J135" s="6"/>
    </row>
    <row r="136" spans="1:10" ht="19.5" thickTop="1" thickBot="1" x14ac:dyDescent="0.5">
      <c r="A136" s="3" t="s">
        <v>14</v>
      </c>
      <c r="B136" s="3" t="b">
        <f>ISNUMBER(IndexTbl[[#This Row],[Class]])</f>
        <v>0</v>
      </c>
      <c r="C136" s="8" t="str">
        <f>TRIM(IndexTbl[[#This Row],[Prefix]]&amp;IF(NOT(IndexTbl[[#This Row],[Dewey Number]])," "&amp;IndexTbl[[#This Row],[Class]],""))</f>
        <v>DVD</v>
      </c>
      <c r="D136" s="4" t="s">
        <v>52</v>
      </c>
      <c r="E136" s="4"/>
      <c r="F136" s="4" t="s">
        <v>273</v>
      </c>
      <c r="G136" s="3"/>
      <c r="H136" s="3" t="s">
        <v>141</v>
      </c>
      <c r="I136" s="20" t="str">
        <f ca="1">INDEX(SectionsTbl[Section Description],RANDBETWEEN(1,4))</f>
        <v>Section 1</v>
      </c>
      <c r="J136" s="6"/>
    </row>
    <row r="137" spans="1:10" ht="19.5" thickTop="1" thickBot="1" x14ac:dyDescent="0.5">
      <c r="A137" s="3" t="s">
        <v>15</v>
      </c>
      <c r="B137" s="3" t="b">
        <f>ISNUMBER(IndexTbl[[#This Row],[Class]])</f>
        <v>0</v>
      </c>
      <c r="C137" s="8" t="str">
        <f>TRIM(IndexTbl[[#This Row],[Prefix]]&amp;IF(NOT(IndexTbl[[#This Row],[Dewey Number]])," "&amp;IndexTbl[[#This Row],[Class]],""))</f>
        <v>DVD</v>
      </c>
      <c r="D137" s="4" t="s">
        <v>52</v>
      </c>
      <c r="E137" s="4"/>
      <c r="F137" s="4" t="s">
        <v>273</v>
      </c>
      <c r="G137" s="3"/>
      <c r="H137" s="3" t="s">
        <v>141</v>
      </c>
      <c r="I137" s="20" t="str">
        <f ca="1">INDEX(SectionsTbl[Section Description],RANDBETWEEN(1,4))</f>
        <v>Section 2</v>
      </c>
      <c r="J137" s="6"/>
    </row>
    <row r="138" spans="1:10" ht="19.5" thickTop="1" thickBot="1" x14ac:dyDescent="0.5">
      <c r="A138" s="3" t="s">
        <v>16</v>
      </c>
      <c r="B138" s="3" t="b">
        <f>ISNUMBER(IndexTbl[[#This Row],[Class]])</f>
        <v>0</v>
      </c>
      <c r="C138" s="8" t="str">
        <f>TRIM(IndexTbl[[#This Row],[Prefix]]&amp;IF(NOT(IndexTbl[[#This Row],[Dewey Number]])," "&amp;IndexTbl[[#This Row],[Class]],""))</f>
        <v>DVD</v>
      </c>
      <c r="D138" s="4" t="s">
        <v>52</v>
      </c>
      <c r="E138" s="4"/>
      <c r="F138" s="4" t="s">
        <v>273</v>
      </c>
      <c r="G138" s="3"/>
      <c r="H138" s="3" t="s">
        <v>141</v>
      </c>
      <c r="I138" s="20" t="str">
        <f ca="1">INDEX(SectionsTbl[Section Description],RANDBETWEEN(1,4))</f>
        <v>Section 2</v>
      </c>
      <c r="J138" s="6"/>
    </row>
    <row r="139" spans="1:10" ht="19.5" thickTop="1" thickBot="1" x14ac:dyDescent="0.5">
      <c r="A139" s="3" t="s">
        <v>17</v>
      </c>
      <c r="B139" s="3" t="b">
        <f>ISNUMBER(IndexTbl[[#This Row],[Class]])</f>
        <v>0</v>
      </c>
      <c r="C139" s="8" t="str">
        <f>TRIM(IndexTbl[[#This Row],[Prefix]]&amp;IF(NOT(IndexTbl[[#This Row],[Dewey Number]])," "&amp;IndexTbl[[#This Row],[Class]],""))</f>
        <v>DVD</v>
      </c>
      <c r="D139" s="4" t="s">
        <v>52</v>
      </c>
      <c r="E139" s="4"/>
      <c r="F139" s="4" t="s">
        <v>273</v>
      </c>
      <c r="G139" s="3"/>
      <c r="H139" s="3" t="s">
        <v>141</v>
      </c>
      <c r="I139" s="20" t="str">
        <f ca="1">INDEX(SectionsTbl[Section Description],RANDBETWEEN(1,4))</f>
        <v>Section 2</v>
      </c>
      <c r="J139" s="6"/>
    </row>
    <row r="140" spans="1:10" ht="19.5" thickTop="1" thickBot="1" x14ac:dyDescent="0.5">
      <c r="A140" s="3" t="s">
        <v>18</v>
      </c>
      <c r="B140" s="3" t="b">
        <f>ISNUMBER(IndexTbl[[#This Row],[Class]])</f>
        <v>0</v>
      </c>
      <c r="C140" s="8" t="str">
        <f>TRIM(IndexTbl[[#This Row],[Prefix]]&amp;IF(NOT(IndexTbl[[#This Row],[Dewey Number]])," "&amp;IndexTbl[[#This Row],[Class]],""))</f>
        <v>DVD</v>
      </c>
      <c r="D140" s="4" t="s">
        <v>52</v>
      </c>
      <c r="E140" s="4"/>
      <c r="F140" s="4" t="s">
        <v>273</v>
      </c>
      <c r="G140" s="3"/>
      <c r="H140" s="3" t="s">
        <v>141</v>
      </c>
      <c r="I140" s="20" t="str">
        <f ca="1">INDEX(SectionsTbl[Section Description],RANDBETWEEN(1,4))</f>
        <v>Section 4</v>
      </c>
      <c r="J140" s="6"/>
    </row>
    <row r="141" spans="1:10" ht="19.5" thickTop="1" thickBot="1" x14ac:dyDescent="0.5">
      <c r="A141" s="3" t="s">
        <v>36</v>
      </c>
      <c r="B141" s="3" t="b">
        <f>ISNUMBER(IndexTbl[[#This Row],[Class]])</f>
        <v>0</v>
      </c>
      <c r="C141" s="8" t="str">
        <f>TRIM(IndexTbl[[#This Row],[Prefix]]&amp;IF(NOT(IndexTbl[[#This Row],[Dewey Number]])," "&amp;IndexTbl[[#This Row],[Class]],""))</f>
        <v>CD A</v>
      </c>
      <c r="D141" s="4" t="s">
        <v>138</v>
      </c>
      <c r="E141" s="4" t="s">
        <v>149</v>
      </c>
      <c r="F141" s="4" t="s">
        <v>277</v>
      </c>
      <c r="G141" s="3"/>
      <c r="H141" s="3" t="s">
        <v>148</v>
      </c>
      <c r="I141" s="20" t="str">
        <f ca="1">INDEX(SectionsTbl[Section Description],RANDBETWEEN(1,4))</f>
        <v>Section 4</v>
      </c>
      <c r="J141" s="6"/>
    </row>
    <row r="142" spans="1:10" ht="19.5" thickTop="1" thickBot="1" x14ac:dyDescent="0.5">
      <c r="A142" s="3" t="s">
        <v>36</v>
      </c>
      <c r="B142" s="3" t="b">
        <f>ISNUMBER(IndexTbl[[#This Row],[Class]])</f>
        <v>0</v>
      </c>
      <c r="C142" s="8" t="str">
        <f>TRIM(IndexTbl[[#This Row],[Prefix]]&amp;IF(NOT(IndexTbl[[#This Row],[Dewey Number]])," "&amp;IndexTbl[[#This Row],[Class]],""))</f>
        <v>CD B</v>
      </c>
      <c r="D142" s="4" t="s">
        <v>138</v>
      </c>
      <c r="E142" s="4" t="s">
        <v>150</v>
      </c>
      <c r="F142" s="4" t="s">
        <v>277</v>
      </c>
      <c r="G142" s="3"/>
      <c r="H142" s="3" t="s">
        <v>148</v>
      </c>
      <c r="I142" s="20" t="str">
        <f ca="1">INDEX(SectionsTbl[Section Description],RANDBETWEEN(1,4))</f>
        <v>Section 1</v>
      </c>
      <c r="J142" s="6"/>
    </row>
    <row r="143" spans="1:10" ht="19.5" thickTop="1" thickBot="1" x14ac:dyDescent="0.5">
      <c r="A143" s="3" t="s">
        <v>36</v>
      </c>
      <c r="B143" s="3" t="b">
        <f>ISNUMBER(IndexTbl[[#This Row],[Class]])</f>
        <v>0</v>
      </c>
      <c r="C143" s="8" t="str">
        <f>TRIM(IndexTbl[[#This Row],[Prefix]]&amp;IF(NOT(IndexTbl[[#This Row],[Dewey Number]])," "&amp;IndexTbl[[#This Row],[Class]],""))</f>
        <v>CD C</v>
      </c>
      <c r="D143" s="4" t="s">
        <v>138</v>
      </c>
      <c r="E143" s="4" t="s">
        <v>151</v>
      </c>
      <c r="F143" s="4" t="s">
        <v>277</v>
      </c>
      <c r="G143" s="3"/>
      <c r="H143" s="3" t="s">
        <v>148</v>
      </c>
      <c r="I143" s="20" t="str">
        <f ca="1">INDEX(SectionsTbl[Section Description],RANDBETWEEN(1,4))</f>
        <v>Section 2</v>
      </c>
      <c r="J143" s="6"/>
    </row>
    <row r="144" spans="1:10" ht="19.5" thickTop="1" thickBot="1" x14ac:dyDescent="0.5">
      <c r="A144" s="3" t="s">
        <v>36</v>
      </c>
      <c r="B144" s="3" t="b">
        <f>ISNUMBER(IndexTbl[[#This Row],[Class]])</f>
        <v>0</v>
      </c>
      <c r="C144" s="8" t="str">
        <f>TRIM(IndexTbl[[#This Row],[Prefix]]&amp;IF(NOT(IndexTbl[[#This Row],[Dewey Number]])," "&amp;IndexTbl[[#This Row],[Class]],""))</f>
        <v>CD D</v>
      </c>
      <c r="D144" s="4" t="s">
        <v>138</v>
      </c>
      <c r="E144" s="4" t="s">
        <v>152</v>
      </c>
      <c r="F144" s="4" t="s">
        <v>277</v>
      </c>
      <c r="G144" s="3"/>
      <c r="H144" s="3" t="s">
        <v>148</v>
      </c>
      <c r="I144" s="20" t="str">
        <f ca="1">INDEX(SectionsTbl[Section Description],RANDBETWEEN(1,4))</f>
        <v>Section 4</v>
      </c>
      <c r="J144" s="6"/>
    </row>
    <row r="145" spans="1:10" ht="19.5" thickTop="1" thickBot="1" x14ac:dyDescent="0.5">
      <c r="A145" s="3" t="s">
        <v>36</v>
      </c>
      <c r="B145" s="3" t="b">
        <f>ISNUMBER(IndexTbl[[#This Row],[Class]])</f>
        <v>0</v>
      </c>
      <c r="C145" s="8" t="str">
        <f>TRIM(IndexTbl[[#This Row],[Prefix]]&amp;IF(NOT(IndexTbl[[#This Row],[Dewey Number]])," "&amp;IndexTbl[[#This Row],[Class]],""))</f>
        <v>CD DG</v>
      </c>
      <c r="D145" s="4" t="s">
        <v>138</v>
      </c>
      <c r="E145" s="4" t="s">
        <v>153</v>
      </c>
      <c r="F145" s="4" t="s">
        <v>277</v>
      </c>
      <c r="G145" s="3"/>
      <c r="H145" s="3" t="s">
        <v>148</v>
      </c>
      <c r="I145" s="20" t="str">
        <f ca="1">INDEX(SectionsTbl[Section Description],RANDBETWEEN(1,4))</f>
        <v>Section 3</v>
      </c>
      <c r="J145" s="6"/>
    </row>
    <row r="146" spans="1:10" ht="19.5" thickTop="1" thickBot="1" x14ac:dyDescent="0.5">
      <c r="A146" s="3" t="s">
        <v>36</v>
      </c>
      <c r="B146" s="3" t="b">
        <f>ISNUMBER(IndexTbl[[#This Row],[Class]])</f>
        <v>0</v>
      </c>
      <c r="C146" s="8" t="str">
        <f>TRIM(IndexTbl[[#This Row],[Prefix]]&amp;IF(NOT(IndexTbl[[#This Row],[Dewey Number]])," "&amp;IndexTbl[[#This Row],[Class]],""))</f>
        <v>CD DO</v>
      </c>
      <c r="D146" s="4" t="s">
        <v>138</v>
      </c>
      <c r="E146" s="4" t="s">
        <v>154</v>
      </c>
      <c r="F146" s="4" t="s">
        <v>277</v>
      </c>
      <c r="G146" s="3"/>
      <c r="H146" s="3" t="s">
        <v>148</v>
      </c>
      <c r="I146" s="20" t="str">
        <f ca="1">INDEX(SectionsTbl[Section Description],RANDBETWEEN(1,4))</f>
        <v>Section 3</v>
      </c>
      <c r="J146" s="6"/>
    </row>
    <row r="147" spans="1:10" ht="19.5" thickTop="1" thickBot="1" x14ac:dyDescent="0.5">
      <c r="A147" s="3" t="s">
        <v>36</v>
      </c>
      <c r="B147" s="3" t="b">
        <f>ISNUMBER(IndexTbl[[#This Row],[Class]])</f>
        <v>0</v>
      </c>
      <c r="C147" s="8" t="str">
        <f>TRIM(IndexTbl[[#This Row],[Prefix]]&amp;IF(NOT(IndexTbl[[#This Row],[Dewey Number]])," "&amp;IndexTbl[[#This Row],[Class]],""))</f>
        <v>CD DP</v>
      </c>
      <c r="D147" s="4" t="s">
        <v>138</v>
      </c>
      <c r="E147" s="4" t="s">
        <v>155</v>
      </c>
      <c r="F147" s="4" t="s">
        <v>277</v>
      </c>
      <c r="G147" s="3"/>
      <c r="H147" s="3" t="s">
        <v>148</v>
      </c>
      <c r="I147" s="20" t="str">
        <f ca="1">INDEX(SectionsTbl[Section Description],RANDBETWEEN(1,4))</f>
        <v>Section 4</v>
      </c>
      <c r="J147" s="6"/>
    </row>
    <row r="148" spans="1:10" ht="19.5" thickTop="1" thickBot="1" x14ac:dyDescent="0.5">
      <c r="A148" s="3" t="s">
        <v>36</v>
      </c>
      <c r="B148" s="3" t="b">
        <f>ISNUMBER(IndexTbl[[#This Row],[Class]])</f>
        <v>0</v>
      </c>
      <c r="C148" s="8" t="str">
        <f>TRIM(IndexTbl[[#This Row],[Prefix]]&amp;IF(NOT(IndexTbl[[#This Row],[Dewey Number]])," "&amp;IndexTbl[[#This Row],[Class]],""))</f>
        <v>CD DS</v>
      </c>
      <c r="D148" s="4" t="s">
        <v>138</v>
      </c>
      <c r="E148" s="4" t="s">
        <v>156</v>
      </c>
      <c r="F148" s="4" t="s">
        <v>277</v>
      </c>
      <c r="G148" s="3"/>
      <c r="H148" s="3" t="s">
        <v>148</v>
      </c>
      <c r="I148" s="20" t="str">
        <f ca="1">INDEX(SectionsTbl[Section Description],RANDBETWEEN(1,4))</f>
        <v>Section 3</v>
      </c>
      <c r="J148" s="6"/>
    </row>
    <row r="149" spans="1:10" ht="19.5" thickTop="1" thickBot="1" x14ac:dyDescent="0.5">
      <c r="A149" s="3" t="s">
        <v>36</v>
      </c>
      <c r="B149" s="3" t="b">
        <f>ISNUMBER(IndexTbl[[#This Row],[Class]])</f>
        <v>0</v>
      </c>
      <c r="C149" s="8" t="str">
        <f>TRIM(IndexTbl[[#This Row],[Prefix]]&amp;IF(NOT(IndexTbl[[#This Row],[Dewey Number]])," "&amp;IndexTbl[[#This Row],[Class]],""))</f>
        <v>CD DV</v>
      </c>
      <c r="D149" s="4" t="s">
        <v>138</v>
      </c>
      <c r="E149" s="4" t="s">
        <v>157</v>
      </c>
      <c r="F149" s="4" t="s">
        <v>277</v>
      </c>
      <c r="G149" s="3"/>
      <c r="H149" s="3" t="s">
        <v>148</v>
      </c>
      <c r="I149" s="20" t="str">
        <f ca="1">INDEX(SectionsTbl[Section Description],RANDBETWEEN(1,4))</f>
        <v>Section 2</v>
      </c>
      <c r="J149" s="6"/>
    </row>
    <row r="150" spans="1:10" ht="19.5" thickTop="1" thickBot="1" x14ac:dyDescent="0.5">
      <c r="A150" s="3" t="s">
        <v>36</v>
      </c>
      <c r="B150" s="3" t="b">
        <f>ISNUMBER(IndexTbl[[#This Row],[Class]])</f>
        <v>0</v>
      </c>
      <c r="C150" s="8" t="str">
        <f>TRIM(IndexTbl[[#This Row],[Prefix]]&amp;IF(NOT(IndexTbl[[#This Row],[Dewey Number]])," "&amp;IndexTbl[[#This Row],[Class]],""))</f>
        <v>CD DW</v>
      </c>
      <c r="D150" s="4" t="s">
        <v>138</v>
      </c>
      <c r="E150" s="4" t="s">
        <v>158</v>
      </c>
      <c r="F150" s="4" t="s">
        <v>277</v>
      </c>
      <c r="G150" s="3"/>
      <c r="H150" s="3" t="s">
        <v>148</v>
      </c>
      <c r="I150" s="20" t="str">
        <f ca="1">INDEX(SectionsTbl[Section Description],RANDBETWEEN(1,4))</f>
        <v>Section 4</v>
      </c>
      <c r="J150" s="6"/>
    </row>
    <row r="151" spans="1:10" ht="19.5" thickTop="1" thickBot="1" x14ac:dyDescent="0.5">
      <c r="A151" s="3" t="s">
        <v>36</v>
      </c>
      <c r="B151" s="3" t="b">
        <f>ISNUMBER(IndexTbl[[#This Row],[Class]])</f>
        <v>0</v>
      </c>
      <c r="C151" s="8" t="str">
        <f>TRIM(IndexTbl[[#This Row],[Prefix]]&amp;IF(NOT(IndexTbl[[#This Row],[Dewey Number]])," "&amp;IndexTbl[[#This Row],[Class]],""))</f>
        <v>CD DX</v>
      </c>
      <c r="D151" s="4" t="s">
        <v>138</v>
      </c>
      <c r="E151" s="4" t="s">
        <v>159</v>
      </c>
      <c r="F151" s="4" t="s">
        <v>277</v>
      </c>
      <c r="G151" s="3"/>
      <c r="H151" s="3" t="s">
        <v>148</v>
      </c>
      <c r="I151" s="20" t="str">
        <f ca="1">INDEX(SectionsTbl[Section Description],RANDBETWEEN(1,4))</f>
        <v>Section 4</v>
      </c>
      <c r="J151" s="6"/>
    </row>
    <row r="152" spans="1:10" ht="19.5" thickTop="1" thickBot="1" x14ac:dyDescent="0.5">
      <c r="A152" s="3" t="s">
        <v>36</v>
      </c>
      <c r="B152" s="3" t="b">
        <f>ISNUMBER(IndexTbl[[#This Row],[Class]])</f>
        <v>0</v>
      </c>
      <c r="C152" s="8" t="str">
        <f>TRIM(IndexTbl[[#This Row],[Prefix]]&amp;IF(NOT(IndexTbl[[#This Row],[Dewey Number]])," "&amp;IndexTbl[[#This Row],[Class]],""))</f>
        <v>CD E</v>
      </c>
      <c r="D152" s="4" t="s">
        <v>138</v>
      </c>
      <c r="E152" s="4" t="s">
        <v>54</v>
      </c>
      <c r="F152" s="4" t="s">
        <v>277</v>
      </c>
      <c r="G152" s="3"/>
      <c r="H152" s="3" t="s">
        <v>148</v>
      </c>
      <c r="I152" s="20" t="str">
        <f ca="1">INDEX(SectionsTbl[Section Description],RANDBETWEEN(1,4))</f>
        <v>Section 3</v>
      </c>
      <c r="J152" s="6"/>
    </row>
    <row r="153" spans="1:10" ht="19.5" thickTop="1" thickBot="1" x14ac:dyDescent="0.5">
      <c r="A153" s="3" t="s">
        <v>36</v>
      </c>
      <c r="B153" s="3" t="b">
        <f>ISNUMBER(IndexTbl[[#This Row],[Class]])</f>
        <v>0</v>
      </c>
      <c r="C153" s="8" t="str">
        <f>TRIM(IndexTbl[[#This Row],[Prefix]]&amp;IF(NOT(IndexTbl[[#This Row],[Dewey Number]])," "&amp;IndexTbl[[#This Row],[Class]],""))</f>
        <v>CD F</v>
      </c>
      <c r="D153" s="4" t="s">
        <v>138</v>
      </c>
      <c r="E153" s="4" t="s">
        <v>160</v>
      </c>
      <c r="F153" s="4" t="s">
        <v>277</v>
      </c>
      <c r="G153" s="3"/>
      <c r="H153" s="3" t="s">
        <v>148</v>
      </c>
      <c r="I153" s="20" t="str">
        <f ca="1">INDEX(SectionsTbl[Section Description],RANDBETWEEN(1,4))</f>
        <v>Section 3</v>
      </c>
      <c r="J153" s="6"/>
    </row>
    <row r="154" spans="1:10" ht="19.5" thickTop="1" thickBot="1" x14ac:dyDescent="0.5">
      <c r="A154" s="3" t="s">
        <v>36</v>
      </c>
      <c r="B154" s="3" t="b">
        <f>ISNUMBER(IndexTbl[[#This Row],[Class]])</f>
        <v>0</v>
      </c>
      <c r="C154" s="8" t="str">
        <f>TRIM(IndexTbl[[#This Row],[Prefix]]&amp;IF(NOT(IndexTbl[[#This Row],[Dewey Number]])," "&amp;IndexTbl[[#This Row],[Class]],""))</f>
        <v>CD G</v>
      </c>
      <c r="D154" s="4" t="s">
        <v>138</v>
      </c>
      <c r="E154" s="4" t="s">
        <v>161</v>
      </c>
      <c r="F154" s="4" t="s">
        <v>277</v>
      </c>
      <c r="G154" s="3"/>
      <c r="H154" s="3" t="s">
        <v>148</v>
      </c>
      <c r="I154" s="20" t="str">
        <f ca="1">INDEX(SectionsTbl[Section Description],RANDBETWEEN(1,4))</f>
        <v>Section 1</v>
      </c>
      <c r="J154" s="6"/>
    </row>
    <row r="155" spans="1:10" ht="19.5" thickTop="1" thickBot="1" x14ac:dyDescent="0.5">
      <c r="A155" s="3" t="s">
        <v>36</v>
      </c>
      <c r="B155" s="3" t="b">
        <f>ISNUMBER(IndexTbl[[#This Row],[Class]])</f>
        <v>0</v>
      </c>
      <c r="C155" s="8" t="str">
        <f>TRIM(IndexTbl[[#This Row],[Prefix]]&amp;IF(NOT(IndexTbl[[#This Row],[Dewey Number]])," "&amp;IndexTbl[[#This Row],[Class]],""))</f>
        <v>CD H</v>
      </c>
      <c r="D155" s="4" t="s">
        <v>138</v>
      </c>
      <c r="E155" s="4" t="s">
        <v>162</v>
      </c>
      <c r="F155" s="4" t="s">
        <v>277</v>
      </c>
      <c r="G155" s="3"/>
      <c r="H155" s="3" t="s">
        <v>148</v>
      </c>
      <c r="I155" s="20" t="str">
        <f ca="1">INDEX(SectionsTbl[Section Description],RANDBETWEEN(1,4))</f>
        <v>Section 1</v>
      </c>
      <c r="J155" s="6"/>
    </row>
    <row r="156" spans="1:10" ht="19.5" thickTop="1" thickBot="1" x14ac:dyDescent="0.5">
      <c r="A156" s="3" t="s">
        <v>36</v>
      </c>
      <c r="B156" s="3" t="b">
        <f>ISNUMBER(IndexTbl[[#This Row],[Class]])</f>
        <v>0</v>
      </c>
      <c r="C156" s="8" t="str">
        <f>TRIM(IndexTbl[[#This Row],[Prefix]]&amp;IF(NOT(IndexTbl[[#This Row],[Dewey Number]])," "&amp;IndexTbl[[#This Row],[Class]],""))</f>
        <v>CD K</v>
      </c>
      <c r="D156" s="4" t="s">
        <v>138</v>
      </c>
      <c r="E156" s="4" t="s">
        <v>163</v>
      </c>
      <c r="F156" s="4" t="s">
        <v>277</v>
      </c>
      <c r="G156" s="3"/>
      <c r="H156" s="3" t="s">
        <v>148</v>
      </c>
      <c r="I156" s="20" t="str">
        <f ca="1">INDEX(SectionsTbl[Section Description],RANDBETWEEN(1,4))</f>
        <v>Section 4</v>
      </c>
      <c r="J156" s="6"/>
    </row>
    <row r="157" spans="1:10" ht="19.5" thickTop="1" thickBot="1" x14ac:dyDescent="0.5">
      <c r="A157" s="3" t="s">
        <v>36</v>
      </c>
      <c r="B157" s="3" t="b">
        <f>ISNUMBER(IndexTbl[[#This Row],[Class]])</f>
        <v>0</v>
      </c>
      <c r="C157" s="8" t="str">
        <f>TRIM(IndexTbl[[#This Row],[Prefix]]&amp;IF(NOT(IndexTbl[[#This Row],[Dewey Number]])," "&amp;IndexTbl[[#This Row],[Class]],""))</f>
        <v>CD L</v>
      </c>
      <c r="D157" s="4" t="s">
        <v>138</v>
      </c>
      <c r="E157" s="4" t="s">
        <v>164</v>
      </c>
      <c r="F157" s="4" t="s">
        <v>277</v>
      </c>
      <c r="G157" s="3"/>
      <c r="H157" s="3" t="s">
        <v>148</v>
      </c>
      <c r="I157" s="20" t="str">
        <f ca="1">INDEX(SectionsTbl[Section Description],RANDBETWEEN(1,4))</f>
        <v>Section 3</v>
      </c>
      <c r="J157" s="6"/>
    </row>
    <row r="158" spans="1:10" ht="19.5" thickTop="1" thickBot="1" x14ac:dyDescent="0.5">
      <c r="A158" s="3" t="s">
        <v>36</v>
      </c>
      <c r="B158" s="3" t="b">
        <f>ISNUMBER(IndexTbl[[#This Row],[Class]])</f>
        <v>0</v>
      </c>
      <c r="C158" s="8" t="str">
        <f>TRIM(IndexTbl[[#This Row],[Prefix]]&amp;IF(NOT(IndexTbl[[#This Row],[Dewey Number]])," "&amp;IndexTbl[[#This Row],[Class]],""))</f>
        <v>CD M</v>
      </c>
      <c r="D158" s="4" t="s">
        <v>138</v>
      </c>
      <c r="E158" s="4" t="s">
        <v>165</v>
      </c>
      <c r="F158" s="4" t="s">
        <v>277</v>
      </c>
      <c r="G158" s="3"/>
      <c r="H158" s="3" t="s">
        <v>148</v>
      </c>
      <c r="I158" s="20" t="str">
        <f ca="1">INDEX(SectionsTbl[Section Description],RANDBETWEEN(1,4))</f>
        <v>Section 4</v>
      </c>
      <c r="J158" s="6"/>
    </row>
    <row r="159" spans="1:10" ht="19.5" thickTop="1" thickBot="1" x14ac:dyDescent="0.5">
      <c r="A159" s="3" t="s">
        <v>36</v>
      </c>
      <c r="B159" s="3" t="b">
        <f>ISNUMBER(IndexTbl[[#This Row],[Class]])</f>
        <v>0</v>
      </c>
      <c r="C159" s="8" t="str">
        <f>TRIM(IndexTbl[[#This Row],[Prefix]]&amp;IF(NOT(IndexTbl[[#This Row],[Dewey Number]])," "&amp;IndexTbl[[#This Row],[Class]],""))</f>
        <v>CD MA</v>
      </c>
      <c r="D159" s="4" t="s">
        <v>138</v>
      </c>
      <c r="E159" s="4" t="s">
        <v>166</v>
      </c>
      <c r="F159" s="4" t="s">
        <v>277</v>
      </c>
      <c r="G159" s="3"/>
      <c r="H159" s="3" t="s">
        <v>148</v>
      </c>
      <c r="I159" s="20" t="str">
        <f ca="1">INDEX(SectionsTbl[Section Description],RANDBETWEEN(1,4))</f>
        <v>Section 1</v>
      </c>
      <c r="J159" s="6"/>
    </row>
    <row r="160" spans="1:10" ht="19.5" thickTop="1" thickBot="1" x14ac:dyDescent="0.5">
      <c r="A160" s="3" t="s">
        <v>36</v>
      </c>
      <c r="B160" s="3" t="b">
        <f>ISNUMBER(IndexTbl[[#This Row],[Class]])</f>
        <v>0</v>
      </c>
      <c r="C160" s="8" t="str">
        <f>TRIM(IndexTbl[[#This Row],[Prefix]]&amp;IF(NOT(IndexTbl[[#This Row],[Dewey Number]])," "&amp;IndexTbl[[#This Row],[Class]],""))</f>
        <v>CD MC</v>
      </c>
      <c r="D160" s="4" t="s">
        <v>138</v>
      </c>
      <c r="E160" s="4" t="s">
        <v>167</v>
      </c>
      <c r="F160" s="4" t="s">
        <v>277</v>
      </c>
      <c r="G160" s="3"/>
      <c r="H160" s="3" t="s">
        <v>148</v>
      </c>
      <c r="I160" s="20" t="str">
        <f ca="1">INDEX(SectionsTbl[Section Description],RANDBETWEEN(1,4))</f>
        <v>Section 4</v>
      </c>
      <c r="J160" s="6"/>
    </row>
    <row r="161" spans="1:10" ht="19.5" thickTop="1" thickBot="1" x14ac:dyDescent="0.5">
      <c r="A161" s="3" t="s">
        <v>36</v>
      </c>
      <c r="B161" s="3" t="b">
        <f>ISNUMBER(IndexTbl[[#This Row],[Class]])</f>
        <v>0</v>
      </c>
      <c r="C161" s="8" t="str">
        <f>TRIM(IndexTbl[[#This Row],[Prefix]]&amp;IF(NOT(IndexTbl[[#This Row],[Dewey Number]])," "&amp;IndexTbl[[#This Row],[Class]],""))</f>
        <v>CD ME</v>
      </c>
      <c r="D161" s="4" t="s">
        <v>138</v>
      </c>
      <c r="E161" s="4" t="s">
        <v>168</v>
      </c>
      <c r="F161" s="4" t="s">
        <v>277</v>
      </c>
      <c r="G161" s="3"/>
      <c r="H161" s="3" t="s">
        <v>148</v>
      </c>
      <c r="I161" s="20" t="str">
        <f ca="1">INDEX(SectionsTbl[Section Description],RANDBETWEEN(1,4))</f>
        <v>Section 1</v>
      </c>
      <c r="J161" s="6"/>
    </row>
    <row r="162" spans="1:10" ht="19.5" thickTop="1" thickBot="1" x14ac:dyDescent="0.5">
      <c r="A162" s="3" t="s">
        <v>36</v>
      </c>
      <c r="B162" s="3" t="b">
        <f>ISNUMBER(IndexTbl[[#This Row],[Class]])</f>
        <v>0</v>
      </c>
      <c r="C162" s="8" t="str">
        <f>TRIM(IndexTbl[[#This Row],[Prefix]]&amp;IF(NOT(IndexTbl[[#This Row],[Dewey Number]])," "&amp;IndexTbl[[#This Row],[Class]],""))</f>
        <v>CD MH</v>
      </c>
      <c r="D162" s="4" t="s">
        <v>138</v>
      </c>
      <c r="E162" s="4" t="s">
        <v>169</v>
      </c>
      <c r="F162" s="4" t="s">
        <v>277</v>
      </c>
      <c r="G162" s="3"/>
      <c r="H162" s="3" t="s">
        <v>148</v>
      </c>
      <c r="I162" s="20" t="str">
        <f ca="1">INDEX(SectionsTbl[Section Description],RANDBETWEEN(1,4))</f>
        <v>Section 3</v>
      </c>
      <c r="J162" s="6"/>
    </row>
    <row r="163" spans="1:10" ht="19.5" thickTop="1" thickBot="1" x14ac:dyDescent="0.5">
      <c r="A163" s="3" t="s">
        <v>36</v>
      </c>
      <c r="B163" s="3" t="b">
        <f>ISNUMBER(IndexTbl[[#This Row],[Class]])</f>
        <v>0</v>
      </c>
      <c r="C163" s="8" t="str">
        <f>TRIM(IndexTbl[[#This Row],[Prefix]]&amp;IF(NOT(IndexTbl[[#This Row],[Dewey Number]])," "&amp;IndexTbl[[#This Row],[Class]],""))</f>
        <v>CD MI</v>
      </c>
      <c r="D163" s="4" t="s">
        <v>138</v>
      </c>
      <c r="E163" s="4" t="s">
        <v>170</v>
      </c>
      <c r="F163" s="4" t="s">
        <v>277</v>
      </c>
      <c r="G163" s="3"/>
      <c r="H163" s="3" t="s">
        <v>148</v>
      </c>
      <c r="I163" s="20" t="str">
        <f ca="1">INDEX(SectionsTbl[Section Description],RANDBETWEEN(1,4))</f>
        <v>Section 2</v>
      </c>
      <c r="J163" s="6"/>
    </row>
    <row r="164" spans="1:10" ht="19.5" thickTop="1" thickBot="1" x14ac:dyDescent="0.5">
      <c r="A164" s="3" t="s">
        <v>36</v>
      </c>
      <c r="B164" s="3" t="b">
        <f>ISNUMBER(IndexTbl[[#This Row],[Class]])</f>
        <v>0</v>
      </c>
      <c r="C164" s="8" t="str">
        <f>TRIM(IndexTbl[[#This Row],[Prefix]]&amp;IF(NOT(IndexTbl[[#This Row],[Dewey Number]])," "&amp;IndexTbl[[#This Row],[Class]],""))</f>
        <v>CD MR</v>
      </c>
      <c r="D164" s="4" t="s">
        <v>138</v>
      </c>
      <c r="E164" s="4" t="s">
        <v>171</v>
      </c>
      <c r="F164" s="4" t="s">
        <v>277</v>
      </c>
      <c r="G164" s="3"/>
      <c r="H164" s="3" t="s">
        <v>148</v>
      </c>
      <c r="I164" s="20" t="str">
        <f ca="1">INDEX(SectionsTbl[Section Description],RANDBETWEEN(1,4))</f>
        <v>Section 4</v>
      </c>
      <c r="J164" s="6"/>
    </row>
    <row r="165" spans="1:10" ht="19.5" thickTop="1" thickBot="1" x14ac:dyDescent="0.5">
      <c r="A165" s="3" t="s">
        <v>36</v>
      </c>
      <c r="B165" s="3" t="b">
        <f>ISNUMBER(IndexTbl[[#This Row],[Class]])</f>
        <v>0</v>
      </c>
      <c r="C165" s="8" t="str">
        <f>TRIM(IndexTbl[[#This Row],[Prefix]]&amp;IF(NOT(IndexTbl[[#This Row],[Dewey Number]])," "&amp;IndexTbl[[#This Row],[Class]],""))</f>
        <v>CD P</v>
      </c>
      <c r="D165" s="4" t="s">
        <v>138</v>
      </c>
      <c r="E165" s="4" t="s">
        <v>172</v>
      </c>
      <c r="F165" s="4" t="s">
        <v>277</v>
      </c>
      <c r="G165" s="3"/>
      <c r="H165" s="3" t="s">
        <v>148</v>
      </c>
      <c r="I165" s="20" t="str">
        <f ca="1">INDEX(SectionsTbl[Section Description],RANDBETWEEN(1,4))</f>
        <v>Section 4</v>
      </c>
      <c r="J165" s="6"/>
    </row>
    <row r="166" spans="1:10" ht="19.5" thickTop="1" thickBot="1" x14ac:dyDescent="0.5">
      <c r="A166" s="3" t="s">
        <v>36</v>
      </c>
      <c r="B166" s="3" t="b">
        <f>ISNUMBER(IndexTbl[[#This Row],[Class]])</f>
        <v>0</v>
      </c>
      <c r="C166" s="8" t="str">
        <f>TRIM(IndexTbl[[#This Row],[Prefix]]&amp;IF(NOT(IndexTbl[[#This Row],[Dewey Number]])," "&amp;IndexTbl[[#This Row],[Class]],""))</f>
        <v>CD R</v>
      </c>
      <c r="D166" s="4" t="s">
        <v>138</v>
      </c>
      <c r="E166" s="4" t="s">
        <v>173</v>
      </c>
      <c r="F166" s="4" t="s">
        <v>277</v>
      </c>
      <c r="G166" s="3"/>
      <c r="H166" s="3" t="s">
        <v>148</v>
      </c>
      <c r="I166" s="20" t="str">
        <f ca="1">INDEX(SectionsTbl[Section Description],RANDBETWEEN(1,4))</f>
        <v>Section 4</v>
      </c>
      <c r="J166" s="6"/>
    </row>
    <row r="167" spans="1:10" ht="19.5" thickTop="1" thickBot="1" x14ac:dyDescent="0.5">
      <c r="A167" s="3" t="s">
        <v>36</v>
      </c>
      <c r="B167" s="3" t="b">
        <f>ISNUMBER(IndexTbl[[#This Row],[Class]])</f>
        <v>0</v>
      </c>
      <c r="C167" s="8" t="str">
        <f>TRIM(IndexTbl[[#This Row],[Prefix]]&amp;IF(NOT(IndexTbl[[#This Row],[Dewey Number]])," "&amp;IndexTbl[[#This Row],[Class]],""))</f>
        <v>CD S</v>
      </c>
      <c r="D167" s="4" t="s">
        <v>138</v>
      </c>
      <c r="E167" s="4" t="s">
        <v>174</v>
      </c>
      <c r="F167" s="4" t="s">
        <v>277</v>
      </c>
      <c r="G167" s="3"/>
      <c r="H167" s="3" t="s">
        <v>148</v>
      </c>
      <c r="I167" s="20" t="str">
        <f ca="1">INDEX(SectionsTbl[Section Description],RANDBETWEEN(1,4))</f>
        <v>Section 1</v>
      </c>
      <c r="J167" s="6"/>
    </row>
    <row r="168" spans="1:10" ht="19.5" thickTop="1" thickBot="1" x14ac:dyDescent="0.5">
      <c r="A168" s="3" t="s">
        <v>36</v>
      </c>
      <c r="B168" s="3" t="b">
        <f>ISNUMBER(IndexTbl[[#This Row],[Class]])</f>
        <v>0</v>
      </c>
      <c r="C168" s="8" t="str">
        <f>TRIM(IndexTbl[[#This Row],[Prefix]]&amp;IF(NOT(IndexTbl[[#This Row],[Dewey Number]])," "&amp;IndexTbl[[#This Row],[Class]],""))</f>
        <v>CD U</v>
      </c>
      <c r="D168" s="4" t="s">
        <v>138</v>
      </c>
      <c r="E168" s="5" t="s">
        <v>175</v>
      </c>
      <c r="F168" s="4" t="s">
        <v>277</v>
      </c>
      <c r="G168" s="3"/>
      <c r="H168" s="3" t="s">
        <v>148</v>
      </c>
      <c r="I168" s="20" t="str">
        <f ca="1">INDEX(SectionsTbl[Section Description],RANDBETWEEN(1,4))</f>
        <v>Section 2</v>
      </c>
      <c r="J168" s="6"/>
    </row>
    <row r="169" spans="1:10" ht="19.5" thickTop="1" thickBot="1" x14ac:dyDescent="0.5">
      <c r="A169" s="1" t="s">
        <v>46</v>
      </c>
      <c r="B169" s="3" t="b">
        <f>ISNUMBER(IndexTbl[[#This Row],[Class]])</f>
        <v>0</v>
      </c>
      <c r="C169" s="8" t="str">
        <f>TRIM(IndexTbl[[#This Row],[Prefix]]&amp;IF(NOT(IndexTbl[[#This Row],[Dewey Number]])," "&amp;IndexTbl[[#This Row],[Class]],""))</f>
        <v/>
      </c>
      <c r="D169" s="4"/>
      <c r="E169" s="4"/>
      <c r="F169" s="4" t="s">
        <v>251</v>
      </c>
      <c r="G169" s="1"/>
      <c r="H169" s="1" t="s">
        <v>46</v>
      </c>
      <c r="I169" s="20" t="str">
        <f ca="1">INDEX(SectionsTbl[Section Description],RANDBETWEEN(1,4))</f>
        <v>Section 3</v>
      </c>
      <c r="J169"/>
    </row>
    <row r="170" spans="1:10" ht="19.5" thickTop="1" thickBot="1" x14ac:dyDescent="0.5">
      <c r="A170" s="8" t="s">
        <v>307</v>
      </c>
      <c r="B170" s="8" t="b">
        <f>ISNUMBER(IndexTbl[[#This Row],[Class]])</f>
        <v>0</v>
      </c>
      <c r="C170" s="8" t="str">
        <f>TRIM(IndexTbl[[#This Row],[Prefix]]&amp;IF(NOT(IndexTbl[[#This Row],[Dewey Number]])," "&amp;IndexTbl[[#This Row],[Class]],""))</f>
        <v/>
      </c>
      <c r="D170" s="9"/>
      <c r="E170" s="9"/>
      <c r="F170" s="4" t="s">
        <v>251</v>
      </c>
      <c r="G170" s="1"/>
      <c r="H170" s="1" t="s">
        <v>330</v>
      </c>
      <c r="I170" s="20" t="str">
        <f ca="1">INDEX(SectionsTbl[Section Description],RANDBETWEEN(1,4))</f>
        <v>Section 1</v>
      </c>
      <c r="J170"/>
    </row>
    <row r="171" spans="1:10" ht="19.5" thickTop="1" thickBot="1" x14ac:dyDescent="0.5">
      <c r="A171" s="3" t="s">
        <v>37</v>
      </c>
      <c r="B171" s="3" t="b">
        <f>ISNUMBER(IndexTbl[[#This Row],[Class]])</f>
        <v>0</v>
      </c>
      <c r="C171" s="8" t="str">
        <f>TRIM(IndexTbl[[#This Row],[Prefix]]&amp;IF(NOT(IndexTbl[[#This Row],[Dewey Number]])," "&amp;IndexTbl[[#This Row],[Class]],""))</f>
        <v/>
      </c>
      <c r="D171" s="4"/>
      <c r="E171" s="4"/>
      <c r="F171" s="4" t="s">
        <v>251</v>
      </c>
      <c r="G171" s="3"/>
      <c r="H171" s="3" t="s">
        <v>37</v>
      </c>
      <c r="I171" s="20" t="str">
        <f ca="1">INDEX(SectionsTbl[Section Description],RANDBETWEEN(1,4))</f>
        <v>Section 4</v>
      </c>
      <c r="J171"/>
    </row>
    <row r="172" spans="1:10" ht="19.5" thickTop="1" thickBot="1" x14ac:dyDescent="0.5">
      <c r="A172" s="8" t="s">
        <v>3</v>
      </c>
      <c r="B172" s="8" t="b">
        <f>ISNUMBER(IndexTbl[[#This Row],[Class]])</f>
        <v>0</v>
      </c>
      <c r="C172" s="8" t="str">
        <f>TRIM(IndexTbl[[#This Row],[Prefix]]&amp;IF(NOT(IndexTbl[[#This Row],[Dewey Number]])," "&amp;IndexTbl[[#This Row],[Class]],""))</f>
        <v>FIC</v>
      </c>
      <c r="D172" s="9"/>
      <c r="E172" s="9" t="s">
        <v>62</v>
      </c>
      <c r="F172" s="4" t="s">
        <v>252</v>
      </c>
      <c r="G172" s="3"/>
      <c r="H172" s="3" t="s">
        <v>308</v>
      </c>
      <c r="I172" s="20" t="str">
        <f ca="1">INDEX(SectionsTbl[Section Description],RANDBETWEEN(1,4))</f>
        <v>Section 4</v>
      </c>
      <c r="J172"/>
    </row>
    <row r="173" spans="1:10" ht="19.5" thickTop="1" thickBot="1" x14ac:dyDescent="0.5">
      <c r="A173" s="8" t="s">
        <v>3</v>
      </c>
      <c r="B173" s="8" t="b">
        <f>ISNUMBER(IndexTbl[[#This Row],[Class]])</f>
        <v>1</v>
      </c>
      <c r="C173" s="8" t="str">
        <f>TRIM(IndexTbl[[#This Row],[Prefix]]&amp;IF(NOT(IndexTbl[[#This Row],[Dewey Number]])," "&amp;IndexTbl[[#This Row],[Class]],""))</f>
        <v/>
      </c>
      <c r="D173" s="9"/>
      <c r="E173" s="9">
        <v>999.99</v>
      </c>
      <c r="F173" s="4" t="s">
        <v>252</v>
      </c>
      <c r="G173" s="3"/>
      <c r="H173" s="3" t="s">
        <v>312</v>
      </c>
      <c r="I173" s="20" t="str">
        <f ca="1">INDEX(SectionsTbl[Section Description],RANDBETWEEN(1,4))</f>
        <v>Section 4</v>
      </c>
      <c r="J173"/>
    </row>
    <row r="174" spans="1:10" ht="19.5" thickTop="1" thickBot="1" x14ac:dyDescent="0.5">
      <c r="A174" s="8" t="s">
        <v>3</v>
      </c>
      <c r="B174" s="8" t="b">
        <f>ISNUMBER(IndexTbl[[#This Row],[Class]])</f>
        <v>0</v>
      </c>
      <c r="C174" s="8" t="str">
        <f>TRIM(IndexTbl[[#This Row],[Prefix]]&amp;IF(NOT(IndexTbl[[#This Row],[Dewey Number]])," "&amp;IndexTbl[[#This Row],[Class]],""))</f>
        <v>TEEN</v>
      </c>
      <c r="D174" s="9" t="s">
        <v>206</v>
      </c>
      <c r="E174" s="9"/>
      <c r="F174" s="4" t="s">
        <v>252</v>
      </c>
      <c r="G174" s="3"/>
      <c r="H174" s="3" t="s">
        <v>310</v>
      </c>
      <c r="I174" s="20" t="str">
        <f ca="1">INDEX(SectionsTbl[Section Description],RANDBETWEEN(1,4))</f>
        <v>Section 3</v>
      </c>
      <c r="J174"/>
    </row>
    <row r="175" spans="1:10" ht="19.5" thickTop="1" thickBot="1" x14ac:dyDescent="0.5">
      <c r="A175" s="8" t="s">
        <v>3</v>
      </c>
      <c r="B175" s="8" t="b">
        <f>ISNUMBER(IndexTbl[[#This Row],[Class]])</f>
        <v>1</v>
      </c>
      <c r="C175" s="8" t="str">
        <f>TRIM(IndexTbl[[#This Row],[Prefix]]&amp;IF(NOT(IndexTbl[[#This Row],[Dewey Number]])," "&amp;IndexTbl[[#This Row],[Class]],""))</f>
        <v>TEEN</v>
      </c>
      <c r="D175" s="9" t="s">
        <v>206</v>
      </c>
      <c r="E175" s="9">
        <v>999.99</v>
      </c>
      <c r="F175" s="4" t="s">
        <v>252</v>
      </c>
      <c r="G175" s="3"/>
      <c r="H175" s="3" t="s">
        <v>311</v>
      </c>
      <c r="I175" s="20" t="str">
        <f ca="1">INDEX(SectionsTbl[Section Description],RANDBETWEEN(1,4))</f>
        <v>Section 1</v>
      </c>
      <c r="J175"/>
    </row>
    <row r="176" spans="1:10" ht="19.5" thickTop="1" thickBot="1" x14ac:dyDescent="0.5">
      <c r="A176" s="8" t="s">
        <v>308</v>
      </c>
      <c r="B176" s="8" t="b">
        <f>ISNUMBER(IndexTbl[[#This Row],[Class]])</f>
        <v>0</v>
      </c>
      <c r="C176" s="8" t="str">
        <f>TRIM(IndexTbl[[#This Row],[Prefix]]&amp;IF(NOT(IndexTbl[[#This Row],[Dewey Number]])," "&amp;IndexTbl[[#This Row],[Class]],""))</f>
        <v>FIC</v>
      </c>
      <c r="D176" s="9"/>
      <c r="E176" s="9" t="s">
        <v>62</v>
      </c>
      <c r="F176" s="4" t="s">
        <v>252</v>
      </c>
      <c r="G176" s="3"/>
      <c r="H176" s="3" t="s">
        <v>308</v>
      </c>
      <c r="I176" s="20" t="str">
        <f ca="1">INDEX(SectionsTbl[Section Description],RANDBETWEEN(1,4))</f>
        <v>Section 1</v>
      </c>
      <c r="J176"/>
    </row>
    <row r="177" spans="1:10" ht="19.5" thickTop="1" thickBot="1" x14ac:dyDescent="0.5">
      <c r="A177" s="8" t="s">
        <v>308</v>
      </c>
      <c r="B177" s="8" t="b">
        <f>ISNUMBER(IndexTbl[[#This Row],[Class]])</f>
        <v>1</v>
      </c>
      <c r="C177" s="8" t="str">
        <f>TRIM(IndexTbl[[#This Row],[Prefix]]&amp;IF(NOT(IndexTbl[[#This Row],[Dewey Number]])," "&amp;IndexTbl[[#This Row],[Class]],""))</f>
        <v/>
      </c>
      <c r="D177" s="9"/>
      <c r="E177" s="9">
        <v>999.99</v>
      </c>
      <c r="F177" s="4" t="s">
        <v>252</v>
      </c>
      <c r="G177" s="3"/>
      <c r="H177" s="3" t="s">
        <v>312</v>
      </c>
      <c r="I177" s="20" t="str">
        <f ca="1">INDEX(SectionsTbl[Section Description],RANDBETWEEN(1,4))</f>
        <v>Section 2</v>
      </c>
      <c r="J177"/>
    </row>
    <row r="178" spans="1:10" ht="19.5" thickTop="1" thickBot="1" x14ac:dyDescent="0.5">
      <c r="A178" s="8" t="s">
        <v>310</v>
      </c>
      <c r="B178" s="8" t="b">
        <f>ISNUMBER(IndexTbl[[#This Row],[Class]])</f>
        <v>0</v>
      </c>
      <c r="C178" s="8" t="str">
        <f>TRIM(IndexTbl[[#This Row],[Prefix]]&amp;IF(NOT(IndexTbl[[#This Row],[Dewey Number]])," "&amp;IndexTbl[[#This Row],[Class]],""))</f>
        <v>TEEN</v>
      </c>
      <c r="D178" s="9" t="s">
        <v>206</v>
      </c>
      <c r="E178" s="9"/>
      <c r="F178" s="4" t="s">
        <v>252</v>
      </c>
      <c r="G178" s="3"/>
      <c r="H178" s="3" t="s">
        <v>310</v>
      </c>
      <c r="I178" s="20" t="str">
        <f ca="1">INDEX(SectionsTbl[Section Description],RANDBETWEEN(1,4))</f>
        <v>Section 2</v>
      </c>
      <c r="J178"/>
    </row>
    <row r="179" spans="1:10" ht="19.5" thickTop="1" thickBot="1" x14ac:dyDescent="0.5">
      <c r="A179" s="8" t="s">
        <v>310</v>
      </c>
      <c r="B179" s="8" t="b">
        <f>ISNUMBER(IndexTbl[[#This Row],[Class]])</f>
        <v>1</v>
      </c>
      <c r="C179" s="8" t="str">
        <f>TRIM(IndexTbl[[#This Row],[Prefix]]&amp;IF(NOT(IndexTbl[[#This Row],[Dewey Number]])," "&amp;IndexTbl[[#This Row],[Class]],""))</f>
        <v>TEEN</v>
      </c>
      <c r="D179" s="9" t="s">
        <v>206</v>
      </c>
      <c r="E179" s="9">
        <v>999.99</v>
      </c>
      <c r="F179" s="4" t="s">
        <v>252</v>
      </c>
      <c r="G179" s="3"/>
      <c r="H179" s="3" t="s">
        <v>311</v>
      </c>
      <c r="I179" s="20" t="str">
        <f ca="1">INDEX(SectionsTbl[Section Description],RANDBETWEEN(1,4))</f>
        <v>Section 1</v>
      </c>
      <c r="J179"/>
    </row>
    <row r="180" spans="1:10" ht="19.5" thickTop="1" thickBot="1" x14ac:dyDescent="0.5">
      <c r="A180" s="8" t="s">
        <v>306</v>
      </c>
      <c r="B180" s="8" t="b">
        <f>ISNUMBER(IndexTbl[[#This Row],[Class]])</f>
        <v>0</v>
      </c>
      <c r="C180" s="8" t="str">
        <f>TRIM(IndexTbl[[#This Row],[Prefix]]&amp;IF(NOT(IndexTbl[[#This Row],[Dewey Number]])," "&amp;IndexTbl[[#This Row],[Class]],""))</f>
        <v>J</v>
      </c>
      <c r="D180" s="9" t="s">
        <v>88</v>
      </c>
      <c r="E180" s="9"/>
      <c r="F180" s="4" t="s">
        <v>252</v>
      </c>
      <c r="G180" s="21"/>
      <c r="H180" s="21" t="s">
        <v>306</v>
      </c>
      <c r="I180" s="20" t="str">
        <f ca="1">INDEX(SectionsTbl[Section Description],RANDBETWEEN(1,4))</f>
        <v>Section 3</v>
      </c>
      <c r="J180"/>
    </row>
    <row r="181" spans="1:10" ht="19.5" thickTop="1" thickBot="1" x14ac:dyDescent="0.5">
      <c r="A181" s="8" t="s">
        <v>306</v>
      </c>
      <c r="B181" s="8" t="b">
        <f>ISNUMBER(IndexTbl[[#This Row],[Class]])</f>
        <v>0</v>
      </c>
      <c r="C181" s="8" t="str">
        <f>TRIM(IndexTbl[[#This Row],[Prefix]]&amp;IF(NOT(IndexTbl[[#This Row],[Dewey Number]])," "&amp;IndexTbl[[#This Row],[Class]],""))</f>
        <v>J SERIES</v>
      </c>
      <c r="D181" s="9" t="s">
        <v>88</v>
      </c>
      <c r="E181" s="9" t="s">
        <v>90</v>
      </c>
      <c r="F181" s="4" t="s">
        <v>252</v>
      </c>
      <c r="G181" s="21"/>
      <c r="H181" s="21" t="s">
        <v>328</v>
      </c>
      <c r="I181" s="20" t="str">
        <f ca="1">INDEX(SectionsTbl[Section Description],RANDBETWEEN(1,4))</f>
        <v>Section 3</v>
      </c>
      <c r="J181"/>
    </row>
    <row r="182" spans="1:10" ht="19.5" thickTop="1" thickBot="1" x14ac:dyDescent="0.5">
      <c r="A182" s="8" t="s">
        <v>306</v>
      </c>
      <c r="B182" s="8" t="b">
        <f>ISNUMBER(IndexTbl[[#This Row],[Class]])</f>
        <v>1</v>
      </c>
      <c r="C182" s="8" t="str">
        <f>TRIM(IndexTbl[[#This Row],[Prefix]]&amp;IF(NOT(IndexTbl[[#This Row],[Dewey Number]])," "&amp;IndexTbl[[#This Row],[Class]],""))</f>
        <v>J</v>
      </c>
      <c r="D182" s="9" t="s">
        <v>88</v>
      </c>
      <c r="E182" s="9">
        <v>999.99</v>
      </c>
      <c r="F182" s="4" t="s">
        <v>252</v>
      </c>
      <c r="G182" s="21"/>
      <c r="H182" s="21" t="s">
        <v>329</v>
      </c>
      <c r="I182" s="20" t="str">
        <f ca="1">INDEX(SectionsTbl[Section Description],RANDBETWEEN(1,4))</f>
        <v>Section 1</v>
      </c>
      <c r="J182"/>
    </row>
    <row r="183" spans="1:10" ht="19.5" thickTop="1" thickBot="1" x14ac:dyDescent="0.5">
      <c r="A183" s="3" t="s">
        <v>48</v>
      </c>
      <c r="B183" s="3" t="b">
        <f>ISNUMBER(IndexTbl[[#This Row],[Class]])</f>
        <v>1</v>
      </c>
      <c r="C183" s="8" t="str">
        <f>TRIM(IndexTbl[[#This Row],[Prefix]]&amp;IF(NOT(IndexTbl[[#This Row],[Dewey Number]])," "&amp;IndexTbl[[#This Row],[Class]],""))</f>
        <v>J REF</v>
      </c>
      <c r="D183" s="4" t="s">
        <v>133</v>
      </c>
      <c r="E183" s="4">
        <v>999.99</v>
      </c>
      <c r="F183" s="4" t="s">
        <v>252</v>
      </c>
      <c r="G183" s="3"/>
      <c r="H183" s="3" t="s">
        <v>132</v>
      </c>
      <c r="I183" s="20" t="s">
        <v>287</v>
      </c>
      <c r="J183"/>
    </row>
    <row r="184" spans="1:10" ht="19.5" thickTop="1" thickBot="1" x14ac:dyDescent="0.5">
      <c r="A184" s="3" t="s">
        <v>177</v>
      </c>
      <c r="B184" s="3" t="b">
        <f>ISNUMBER(IndexTbl[[#This Row],[Class]])</f>
        <v>1</v>
      </c>
      <c r="C184" s="8" t="str">
        <f>TRIM(IndexTbl[[#This Row],[Prefix]]&amp;IF(NOT(IndexTbl[[#This Row],[Dewey Number]])," "&amp;IndexTbl[[#This Row],[Class]],""))</f>
        <v>REF</v>
      </c>
      <c r="D184" s="4" t="s">
        <v>178</v>
      </c>
      <c r="E184" s="4">
        <v>999.99</v>
      </c>
      <c r="F184" s="4" t="s">
        <v>252</v>
      </c>
      <c r="G184" s="3"/>
      <c r="H184" s="3" t="s">
        <v>176</v>
      </c>
      <c r="I184" s="20" t="s">
        <v>287</v>
      </c>
      <c r="J184"/>
    </row>
    <row r="185" spans="1:10" ht="19.5" thickTop="1" thickBot="1" x14ac:dyDescent="0.5">
      <c r="A185" s="3" t="s">
        <v>48</v>
      </c>
      <c r="B185" s="3" t="b">
        <f>ISNUMBER(IndexTbl[[#This Row],[Class]])</f>
        <v>1</v>
      </c>
      <c r="C185" s="8" t="str">
        <f>TRIM(IndexTbl[[#This Row],[Prefix]]&amp;IF(NOT(IndexTbl[[#This Row],[Dewey Number]])," "&amp;IndexTbl[[#This Row],[Class]],""))</f>
        <v>CD-ROM</v>
      </c>
      <c r="D185" s="4" t="s">
        <v>180</v>
      </c>
      <c r="E185" s="4">
        <v>999.99</v>
      </c>
      <c r="F185" s="4" t="s">
        <v>278</v>
      </c>
      <c r="G185" s="3"/>
      <c r="H185" s="3" t="s">
        <v>179</v>
      </c>
      <c r="I185" s="20" t="s">
        <v>287</v>
      </c>
      <c r="J185"/>
    </row>
    <row r="186" spans="1:10" ht="19.5" thickTop="1" thickBot="1" x14ac:dyDescent="0.5">
      <c r="A186" s="3" t="s">
        <v>48</v>
      </c>
      <c r="B186" s="3" t="b">
        <f>ISNUMBER(IndexTbl[[#This Row],[Class]])</f>
        <v>1</v>
      </c>
      <c r="C186" s="8" t="str">
        <f>TRIM(IndexTbl[[#This Row],[Prefix]]&amp;IF(NOT(IndexTbl[[#This Row],[Dewey Number]])," "&amp;IndexTbl[[#This Row],[Class]],""))</f>
        <v>TEEN REF</v>
      </c>
      <c r="D186" s="4" t="s">
        <v>217</v>
      </c>
      <c r="E186" s="4">
        <v>999.99</v>
      </c>
      <c r="F186" s="4" t="s">
        <v>252</v>
      </c>
      <c r="G186" s="3"/>
      <c r="H186" s="3" t="s">
        <v>216</v>
      </c>
      <c r="I186" s="20" t="s">
        <v>287</v>
      </c>
      <c r="J186"/>
    </row>
    <row r="187" spans="1:10" ht="19.5" thickTop="1" thickBot="1" x14ac:dyDescent="0.5">
      <c r="A187" s="3"/>
      <c r="B187" s="3" t="b">
        <f>ISNUMBER(IndexTbl[[#This Row],[Class]])</f>
        <v>0</v>
      </c>
      <c r="C187" s="8" t="str">
        <f>TRIM(IndexTbl[[#This Row],[Prefix]]&amp;IF(NOT(IndexTbl[[#This Row],[Dewey Number]])," "&amp;IndexTbl[[#This Row],[Class]],""))</f>
        <v>TEEN EXPLORE</v>
      </c>
      <c r="D187" s="4" t="s">
        <v>244</v>
      </c>
      <c r="E187" s="4"/>
      <c r="F187" s="4" t="s">
        <v>251</v>
      </c>
      <c r="G187" s="3"/>
      <c r="H187" s="3" t="s">
        <v>243</v>
      </c>
      <c r="I187" s="20" t="s">
        <v>287</v>
      </c>
      <c r="J187"/>
    </row>
    <row r="188" spans="1:10" ht="19.5" thickTop="1" thickBot="1" x14ac:dyDescent="0.5">
      <c r="A188" s="3"/>
      <c r="B188" s="3" t="b">
        <f>ISNUMBER(IndexTbl[[#This Row],[Class]])</f>
        <v>0</v>
      </c>
      <c r="C188" s="8" t="str">
        <f>TRIM(IndexTbl[[#This Row],[Prefix]]&amp;IF(NOT(IndexTbl[[#This Row],[Dewey Number]])," "&amp;IndexTbl[[#This Row],[Class]],""))</f>
        <v>APBK</v>
      </c>
      <c r="D188" s="4" t="s">
        <v>246</v>
      </c>
      <c r="E188" s="4"/>
      <c r="F188" s="4" t="s">
        <v>251</v>
      </c>
      <c r="G188" s="1"/>
      <c r="H188" s="1" t="s">
        <v>245</v>
      </c>
      <c r="I188" s="20" t="s">
        <v>287</v>
      </c>
      <c r="J188"/>
    </row>
    <row r="189" spans="1:10" ht="19.5" thickTop="1" thickBot="1" x14ac:dyDescent="0.5">
      <c r="A189" s="3"/>
      <c r="B189" s="3" t="b">
        <f>ISNUMBER(IndexTbl[[#This Row],[Class]])</f>
        <v>0</v>
      </c>
      <c r="C189" s="8" t="str">
        <f>TRIM(IndexTbl[[#This Row],[Prefix]]&amp;IF(NOT(IndexTbl[[#This Row],[Dewey Number]])," "&amp;IndexTbl[[#This Row],[Class]],""))</f>
        <v>TPBK</v>
      </c>
      <c r="D189" s="4" t="s">
        <v>248</v>
      </c>
      <c r="E189" s="4"/>
      <c r="F189" s="4" t="s">
        <v>251</v>
      </c>
      <c r="G189" s="1"/>
      <c r="H189" s="1" t="s">
        <v>247</v>
      </c>
      <c r="I189" s="20" t="s">
        <v>287</v>
      </c>
      <c r="J189"/>
    </row>
    <row r="190" spans="1:10" ht="19.5" thickTop="1" thickBot="1" x14ac:dyDescent="0.5">
      <c r="A190" s="8" t="s">
        <v>297</v>
      </c>
      <c r="B190" s="8" t="b">
        <f>ISNUMBER(IndexTbl[[#This Row],[Class]])</f>
        <v>0</v>
      </c>
      <c r="C190" s="8" t="str">
        <f>TRIM(IndexTbl[[#This Row],[Prefix]]&amp;IF(NOT(IndexTbl[[#This Row],[Dewey Number]])," "&amp;IndexTbl[[#This Row],[Class]],""))</f>
        <v/>
      </c>
      <c r="D190" s="9"/>
      <c r="E190" s="9"/>
      <c r="F190" s="9"/>
      <c r="G190" s="8"/>
      <c r="H190" s="8" t="s">
        <v>296</v>
      </c>
      <c r="I190" s="20" t="s">
        <v>287</v>
      </c>
      <c r="J190"/>
    </row>
    <row r="191" spans="1:10" ht="19" thickTop="1" x14ac:dyDescent="0.45">
      <c r="A191" s="3" t="s">
        <v>420</v>
      </c>
      <c r="B191" s="26" t="b">
        <f>ISNUMBER(IndexTbl[[#This Row],[Class]])</f>
        <v>0</v>
      </c>
      <c r="C191" s="26" t="str">
        <f>TRIM(IndexTbl[[#This Row],[Prefix]]&amp;IF(NOT(IndexTbl[[#This Row],[Dewey Number]])," "&amp;IndexTbl[[#This Row],[Class]],""))</f>
        <v/>
      </c>
      <c r="D191" s="4"/>
      <c r="E191" s="4"/>
      <c r="F191" s="4"/>
      <c r="G191" s="3"/>
      <c r="H191" s="4"/>
      <c r="I191" s="27" t="s">
        <v>287</v>
      </c>
      <c r="J191"/>
    </row>
    <row r="192" spans="1:10" x14ac:dyDescent="0.45">
      <c r="B192"/>
      <c r="C192"/>
      <c r="D192"/>
      <c r="E192"/>
      <c r="F192"/>
      <c r="H192"/>
      <c r="J192"/>
    </row>
    <row r="193" spans="2:10" x14ac:dyDescent="0.45">
      <c r="B193"/>
      <c r="C193"/>
      <c r="D193"/>
      <c r="E193"/>
      <c r="F193"/>
      <c r="H193"/>
      <c r="J193"/>
    </row>
    <row r="194" spans="2:10" x14ac:dyDescent="0.45">
      <c r="B194"/>
      <c r="C194"/>
      <c r="D194"/>
      <c r="E194"/>
      <c r="F194"/>
      <c r="H194"/>
      <c r="J194"/>
    </row>
    <row r="195" spans="2:10" x14ac:dyDescent="0.45">
      <c r="B195"/>
      <c r="C195"/>
      <c r="D195"/>
      <c r="E195"/>
      <c r="F195"/>
      <c r="H195"/>
      <c r="J195"/>
    </row>
    <row r="196" spans="2:10" x14ac:dyDescent="0.45">
      <c r="B196"/>
      <c r="C196"/>
      <c r="D196"/>
      <c r="E196"/>
      <c r="F196"/>
      <c r="H196"/>
      <c r="J196"/>
    </row>
    <row r="197" spans="2:10" x14ac:dyDescent="0.45">
      <c r="B197"/>
      <c r="C197"/>
      <c r="D197"/>
      <c r="E197"/>
      <c r="F197"/>
      <c r="H197"/>
    </row>
    <row r="198" spans="2:10" x14ac:dyDescent="0.45">
      <c r="B198"/>
      <c r="C198"/>
      <c r="D198"/>
      <c r="E198"/>
      <c r="F198"/>
      <c r="H198"/>
    </row>
    <row r="199" spans="2:10" x14ac:dyDescent="0.45">
      <c r="B199"/>
      <c r="C199"/>
      <c r="D199"/>
      <c r="E199"/>
      <c r="F199"/>
      <c r="H199"/>
    </row>
    <row r="200" spans="2:10" x14ac:dyDescent="0.45">
      <c r="B200"/>
      <c r="C200"/>
      <c r="D200"/>
      <c r="E200"/>
      <c r="F200"/>
      <c r="H200"/>
    </row>
    <row r="201" spans="2:10" x14ac:dyDescent="0.45">
      <c r="B201"/>
      <c r="C201"/>
      <c r="D201"/>
      <c r="E201"/>
      <c r="F201"/>
      <c r="H201"/>
    </row>
    <row r="202" spans="2:10" x14ac:dyDescent="0.45">
      <c r="B202"/>
      <c r="C202"/>
      <c r="D202"/>
      <c r="E202"/>
      <c r="F202"/>
      <c r="H202"/>
    </row>
    <row r="203" spans="2:10" x14ac:dyDescent="0.45">
      <c r="B203"/>
      <c r="C203"/>
      <c r="D203"/>
      <c r="E203"/>
      <c r="F203"/>
      <c r="H203"/>
    </row>
    <row r="204" spans="2:10" x14ac:dyDescent="0.45">
      <c r="B204"/>
      <c r="C204"/>
      <c r="D204"/>
      <c r="E204"/>
      <c r="F204"/>
      <c r="H204"/>
    </row>
    <row r="205" spans="2:10" x14ac:dyDescent="0.45">
      <c r="B205"/>
      <c r="C205"/>
      <c r="D205"/>
      <c r="E205"/>
      <c r="F205"/>
      <c r="H205"/>
    </row>
    <row r="206" spans="2:10" x14ac:dyDescent="0.45">
      <c r="B206"/>
      <c r="C206"/>
      <c r="D206"/>
      <c r="E206"/>
      <c r="F206"/>
      <c r="H206"/>
    </row>
    <row r="207" spans="2:10" x14ac:dyDescent="0.45">
      <c r="B207"/>
      <c r="C207"/>
      <c r="D207"/>
      <c r="E207"/>
      <c r="F207"/>
      <c r="H207"/>
    </row>
    <row r="208" spans="2:10" x14ac:dyDescent="0.45">
      <c r="B208"/>
      <c r="C208"/>
      <c r="D208"/>
      <c r="E208"/>
      <c r="F208"/>
      <c r="H208"/>
    </row>
    <row r="209" spans="2:8" x14ac:dyDescent="0.45">
      <c r="B209"/>
      <c r="C209"/>
      <c r="D209"/>
      <c r="E209"/>
      <c r="F209"/>
      <c r="H209"/>
    </row>
    <row r="210" spans="2:8" x14ac:dyDescent="0.45">
      <c r="B210"/>
      <c r="C210"/>
      <c r="D210"/>
      <c r="E210"/>
      <c r="F210"/>
      <c r="H210"/>
    </row>
    <row r="211" spans="2:8" x14ac:dyDescent="0.45">
      <c r="B211"/>
      <c r="C211"/>
      <c r="D211"/>
      <c r="E211"/>
      <c r="F211"/>
      <c r="H211"/>
    </row>
    <row r="212" spans="2:8" x14ac:dyDescent="0.45">
      <c r="B212"/>
      <c r="C212"/>
      <c r="D212"/>
      <c r="E212"/>
      <c r="F212"/>
      <c r="H212"/>
    </row>
    <row r="213" spans="2:8" x14ac:dyDescent="0.45">
      <c r="B213"/>
      <c r="C213"/>
      <c r="D213"/>
      <c r="E213"/>
      <c r="F213"/>
      <c r="H213"/>
    </row>
    <row r="214" spans="2:8" x14ac:dyDescent="0.45">
      <c r="B214"/>
      <c r="C214"/>
      <c r="D214"/>
      <c r="E214"/>
      <c r="F214"/>
      <c r="H214"/>
    </row>
    <row r="215" spans="2:8" x14ac:dyDescent="0.45">
      <c r="B215"/>
      <c r="C215"/>
      <c r="D215"/>
      <c r="E215"/>
      <c r="F215"/>
      <c r="H215"/>
    </row>
    <row r="216" spans="2:8" x14ac:dyDescent="0.45">
      <c r="B216"/>
      <c r="C216"/>
      <c r="D216"/>
      <c r="E216"/>
      <c r="F216"/>
      <c r="H216"/>
    </row>
    <row r="217" spans="2:8" x14ac:dyDescent="0.45">
      <c r="B217"/>
      <c r="C217"/>
      <c r="D217"/>
      <c r="E217"/>
      <c r="F217"/>
      <c r="H217"/>
    </row>
    <row r="218" spans="2:8" x14ac:dyDescent="0.45">
      <c r="B218"/>
      <c r="C218"/>
      <c r="D218"/>
      <c r="E218"/>
      <c r="F218"/>
      <c r="H218"/>
    </row>
  </sheetData>
  <conditionalFormatting sqref="A1:A1048576">
    <cfRule type="duplicateValues" dxfId="14" priority="1"/>
  </conditionalFormatting>
  <dataValidations count="2">
    <dataValidation type="list" allowBlank="1" showInputMessage="1" showErrorMessage="1" sqref="I2:I191">
      <formula1>INDIRECT("SectionsTbl[Section Description]")</formula1>
    </dataValidation>
    <dataValidation type="list" allowBlank="1" showInputMessage="1" showErrorMessage="1" sqref="G2:G191">
      <formula1>",New Books"</formula1>
    </dataValidation>
  </dataValidations>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9</xdr:col>
                    <xdr:colOff>393700</xdr:colOff>
                    <xdr:row>0</xdr:row>
                    <xdr:rowOff>457200</xdr:rowOff>
                  </from>
                  <to>
                    <xdr:col>10</xdr:col>
                    <xdr:colOff>266700</xdr:colOff>
                    <xdr:row>7</xdr:row>
                    <xdr:rowOff>260350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heetViews>
  <sheetFormatPr defaultColWidth="8.81640625" defaultRowHeight="17.5" x14ac:dyDescent="0.35"/>
  <cols>
    <col min="1" max="1" width="29.81640625" style="12" bestFit="1" customWidth="1"/>
    <col min="2" max="2" width="19.453125" style="12" bestFit="1" customWidth="1"/>
    <col min="3" max="6" width="8.81640625" style="13"/>
    <col min="7" max="7" width="8.81640625" style="16"/>
    <col min="8" max="8" width="22.81640625" style="16" hidden="1" customWidth="1"/>
    <col min="9" max="16384" width="8.81640625" style="13"/>
  </cols>
  <sheetData>
    <row r="1" spans="1:8" x14ac:dyDescent="0.35">
      <c r="A1" s="12" t="s">
        <v>292</v>
      </c>
      <c r="B1" s="13"/>
      <c r="F1" s="16"/>
      <c r="H1" s="13"/>
    </row>
    <row r="2" spans="1:8" x14ac:dyDescent="0.35">
      <c r="A2" s="24" t="s">
        <v>333</v>
      </c>
      <c r="B2" s="13"/>
      <c r="F2" s="16"/>
      <c r="G2" s="18"/>
      <c r="H2" s="13"/>
    </row>
    <row r="3" spans="1:8" x14ac:dyDescent="0.35">
      <c r="A3" s="24" t="s">
        <v>334</v>
      </c>
      <c r="B3" s="13"/>
      <c r="F3" s="16"/>
      <c r="G3" s="18"/>
      <c r="H3" s="13"/>
    </row>
    <row r="4" spans="1:8" x14ac:dyDescent="0.35">
      <c r="A4" s="24" t="s">
        <v>335</v>
      </c>
      <c r="B4" s="13"/>
      <c r="F4" s="16"/>
      <c r="G4" s="17"/>
      <c r="H4" s="13"/>
    </row>
    <row r="5" spans="1:8" x14ac:dyDescent="0.35">
      <c r="A5" s="24" t="s">
        <v>336</v>
      </c>
      <c r="B5" s="13"/>
      <c r="F5" s="16"/>
      <c r="H5" s="13"/>
    </row>
    <row r="6" spans="1:8" x14ac:dyDescent="0.35">
      <c r="A6" s="11" t="s">
        <v>287</v>
      </c>
      <c r="B6" s="13"/>
      <c r="F6" s="16"/>
      <c r="H6" s="13"/>
    </row>
    <row r="7" spans="1:8" x14ac:dyDescent="0.35">
      <c r="A7" s="19" t="s">
        <v>301</v>
      </c>
      <c r="B7" s="13"/>
      <c r="F7" s="16"/>
      <c r="H7" s="13"/>
    </row>
    <row r="8" spans="1:8" x14ac:dyDescent="0.35">
      <c r="B8" s="13"/>
      <c r="F8" s="16"/>
      <c r="H8" s="13"/>
    </row>
    <row r="9" spans="1:8" x14ac:dyDescent="0.35">
      <c r="B9" s="13"/>
      <c r="F9" s="16"/>
      <c r="H9" s="13"/>
    </row>
    <row r="10" spans="1:8" x14ac:dyDescent="0.35">
      <c r="B10" s="13"/>
      <c r="F10" s="16"/>
      <c r="H10" s="13"/>
    </row>
    <row r="11" spans="1:8" x14ac:dyDescent="0.35">
      <c r="B11" s="13"/>
      <c r="F11" s="16"/>
      <c r="H11" s="13"/>
    </row>
    <row r="12" spans="1:8" x14ac:dyDescent="0.35">
      <c r="B12" s="13"/>
      <c r="F12" s="16"/>
      <c r="H12" s="13"/>
    </row>
    <row r="13" spans="1:8" x14ac:dyDescent="0.35">
      <c r="B13" s="13"/>
      <c r="F13" s="16"/>
      <c r="H13" s="13"/>
    </row>
    <row r="14" spans="1:8" x14ac:dyDescent="0.35">
      <c r="B14" s="13"/>
      <c r="F14" s="16"/>
      <c r="H14" s="13"/>
    </row>
    <row r="15" spans="1:8" x14ac:dyDescent="0.35">
      <c r="B15" s="13"/>
      <c r="F15" s="16"/>
      <c r="H15" s="13"/>
    </row>
    <row r="16" spans="1:8" x14ac:dyDescent="0.35">
      <c r="B16" s="13"/>
      <c r="F16" s="16"/>
      <c r="H16" s="13"/>
    </row>
    <row r="17" spans="2:8" x14ac:dyDescent="0.35">
      <c r="B17" s="13"/>
      <c r="F17" s="16"/>
      <c r="H17" s="13"/>
    </row>
    <row r="18" spans="2:8" x14ac:dyDescent="0.35">
      <c r="B18" s="13"/>
      <c r="F18" s="16"/>
      <c r="H18" s="13"/>
    </row>
    <row r="19" spans="2:8" x14ac:dyDescent="0.35">
      <c r="B19" s="13"/>
      <c r="F19" s="16"/>
      <c r="H19" s="13"/>
    </row>
    <row r="20" spans="2:8" x14ac:dyDescent="0.35">
      <c r="B20" s="13"/>
      <c r="F20" s="16"/>
      <c r="H20" s="13"/>
    </row>
    <row r="21" spans="2:8" x14ac:dyDescent="0.35">
      <c r="B21" s="13"/>
      <c r="F21" s="16"/>
      <c r="H21" s="13"/>
    </row>
    <row r="22" spans="2:8" x14ac:dyDescent="0.35">
      <c r="B22" s="13"/>
      <c r="F22" s="16"/>
      <c r="H22" s="13"/>
    </row>
    <row r="23" spans="2:8" x14ac:dyDescent="0.35">
      <c r="B23" s="13"/>
      <c r="F23" s="16"/>
      <c r="H23" s="13"/>
    </row>
    <row r="24" spans="2:8" x14ac:dyDescent="0.35">
      <c r="B24" s="13"/>
      <c r="F24" s="16"/>
      <c r="H24" s="13"/>
    </row>
    <row r="25" spans="2:8" x14ac:dyDescent="0.35">
      <c r="B25" s="13"/>
      <c r="F25" s="16"/>
      <c r="H25" s="13"/>
    </row>
    <row r="26" spans="2:8" x14ac:dyDescent="0.35">
      <c r="B26" s="13"/>
      <c r="F26" s="16"/>
      <c r="H26" s="13"/>
    </row>
    <row r="27" spans="2:8" x14ac:dyDescent="0.35">
      <c r="B27" s="13"/>
      <c r="F27" s="16"/>
      <c r="H27" s="13"/>
    </row>
    <row r="28" spans="2:8" x14ac:dyDescent="0.35">
      <c r="B28" s="13"/>
      <c r="F28" s="16"/>
      <c r="H28" s="13"/>
    </row>
    <row r="29" spans="2:8" x14ac:dyDescent="0.35">
      <c r="B29" s="13"/>
      <c r="F29" s="16"/>
      <c r="H29" s="13"/>
    </row>
    <row r="30" spans="2:8" x14ac:dyDescent="0.35">
      <c r="B30" s="13"/>
      <c r="F30" s="16"/>
      <c r="H30" s="13"/>
    </row>
    <row r="31" spans="2:8" x14ac:dyDescent="0.35">
      <c r="B31" s="13"/>
      <c r="F31" s="16"/>
      <c r="H31" s="13"/>
    </row>
    <row r="32" spans="2:8" x14ac:dyDescent="0.35">
      <c r="B32" s="13"/>
      <c r="F32" s="16"/>
      <c r="H32" s="13"/>
    </row>
    <row r="33" spans="2:8" x14ac:dyDescent="0.35">
      <c r="B33" s="13"/>
      <c r="F33" s="16"/>
      <c r="H33" s="13"/>
    </row>
    <row r="34" spans="2:8" x14ac:dyDescent="0.35">
      <c r="B34" s="13"/>
      <c r="F34" s="16"/>
      <c r="H34" s="13"/>
    </row>
    <row r="35" spans="2:8" x14ac:dyDescent="0.35">
      <c r="B35" s="13"/>
      <c r="F35" s="16"/>
      <c r="H35" s="13"/>
    </row>
    <row r="36" spans="2:8" x14ac:dyDescent="0.35">
      <c r="B36" s="13"/>
      <c r="F36" s="16"/>
      <c r="H36" s="13"/>
    </row>
    <row r="37" spans="2:8" x14ac:dyDescent="0.35">
      <c r="B37" s="13"/>
      <c r="F37" s="16"/>
      <c r="H37" s="13"/>
    </row>
    <row r="38" spans="2:8" x14ac:dyDescent="0.35">
      <c r="B38" s="13"/>
      <c r="F38" s="16"/>
      <c r="H38" s="13"/>
    </row>
    <row r="39" spans="2:8" x14ac:dyDescent="0.35">
      <c r="B39" s="13"/>
      <c r="F39" s="16"/>
      <c r="H39" s="13"/>
    </row>
    <row r="40" spans="2:8" x14ac:dyDescent="0.35">
      <c r="B40" s="13"/>
      <c r="F40" s="16"/>
      <c r="H40" s="13"/>
    </row>
    <row r="41" spans="2:8" x14ac:dyDescent="0.35">
      <c r="B41" s="13"/>
      <c r="F41" s="16"/>
      <c r="H41" s="13"/>
    </row>
    <row r="42" spans="2:8" x14ac:dyDescent="0.35">
      <c r="B42" s="13"/>
      <c r="F42" s="16"/>
      <c r="H42" s="13"/>
    </row>
    <row r="43" spans="2:8" x14ac:dyDescent="0.35">
      <c r="B43" s="13"/>
      <c r="F43" s="16"/>
      <c r="H43" s="13"/>
    </row>
    <row r="44" spans="2:8" x14ac:dyDescent="0.35">
      <c r="B44" s="13"/>
      <c r="F44" s="16"/>
      <c r="H44" s="13"/>
    </row>
    <row r="45" spans="2:8" x14ac:dyDescent="0.35">
      <c r="B45" s="13"/>
      <c r="F45" s="16"/>
      <c r="H45" s="13"/>
    </row>
    <row r="46" spans="2:8" x14ac:dyDescent="0.35">
      <c r="B46" s="13"/>
      <c r="F46" s="16"/>
      <c r="H46" s="13"/>
    </row>
    <row r="47" spans="2:8" x14ac:dyDescent="0.35">
      <c r="B47" s="13"/>
      <c r="F47" s="16"/>
      <c r="H47" s="13"/>
    </row>
    <row r="48" spans="2:8" x14ac:dyDescent="0.35">
      <c r="B48" s="13"/>
      <c r="F48" s="16"/>
      <c r="H48" s="13"/>
    </row>
    <row r="49" spans="2:8" x14ac:dyDescent="0.35">
      <c r="B49" s="13"/>
      <c r="F49" s="16"/>
      <c r="H49" s="13"/>
    </row>
    <row r="50" spans="2:8" x14ac:dyDescent="0.35">
      <c r="B50" s="13"/>
      <c r="F50" s="16"/>
      <c r="H50" s="13"/>
    </row>
    <row r="51" spans="2:8" x14ac:dyDescent="0.35">
      <c r="B51" s="13"/>
      <c r="F51" s="16"/>
      <c r="H51" s="13"/>
    </row>
    <row r="52" spans="2:8" x14ac:dyDescent="0.35">
      <c r="B52" s="13"/>
      <c r="F52" s="16"/>
      <c r="H52" s="13"/>
    </row>
    <row r="53" spans="2:8" x14ac:dyDescent="0.35">
      <c r="B53" s="13"/>
      <c r="F53" s="16"/>
      <c r="H53" s="13"/>
    </row>
    <row r="54" spans="2:8" x14ac:dyDescent="0.35">
      <c r="B54" s="13"/>
      <c r="F54" s="16"/>
      <c r="H54" s="13"/>
    </row>
    <row r="55" spans="2:8" x14ac:dyDescent="0.35">
      <c r="B55" s="13"/>
      <c r="F55" s="16"/>
      <c r="H55" s="13"/>
    </row>
    <row r="56" spans="2:8" x14ac:dyDescent="0.35">
      <c r="B56" s="13"/>
      <c r="F56" s="16"/>
      <c r="H56" s="13"/>
    </row>
    <row r="57" spans="2:8" x14ac:dyDescent="0.35">
      <c r="B57" s="13"/>
      <c r="F57" s="16"/>
      <c r="H57" s="13"/>
    </row>
    <row r="58" spans="2:8" x14ac:dyDescent="0.35">
      <c r="B58" s="13"/>
      <c r="F58" s="16"/>
      <c r="H58" s="13"/>
    </row>
    <row r="59" spans="2:8" x14ac:dyDescent="0.35">
      <c r="B59" s="13"/>
      <c r="F59" s="16"/>
      <c r="H59" s="13"/>
    </row>
    <row r="60" spans="2:8" x14ac:dyDescent="0.35">
      <c r="B60" s="13"/>
      <c r="F60" s="16"/>
      <c r="H60" s="13"/>
    </row>
  </sheetData>
  <sheetProtection selectLockedCells="1"/>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2</xdr:col>
                    <xdr:colOff>152400</xdr:colOff>
                    <xdr:row>0</xdr:row>
                    <xdr:rowOff>209550</xdr:rowOff>
                  </from>
                  <to>
                    <xdr:col>4</xdr:col>
                    <xdr:colOff>527050</xdr:colOff>
                    <xdr:row>3</xdr:row>
                    <xdr:rowOff>190500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Daily RTF report</vt:lpstr>
      <vt:lpstr>Main</vt:lpstr>
      <vt:lpstr>Index</vt:lpstr>
      <vt:lpstr>Ranked Sections</vt:lpstr>
      <vt:lpstr>callNumMask</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Service Center</cp:lastModifiedBy>
  <cp:lastPrinted>2015-07-22T21:08:43Z</cp:lastPrinted>
  <dcterms:created xsi:type="dcterms:W3CDTF">2011-03-31T02:09:26Z</dcterms:created>
  <dcterms:modified xsi:type="dcterms:W3CDTF">2015-11-10T06:40:36Z</dcterms:modified>
</cp:coreProperties>
</file>