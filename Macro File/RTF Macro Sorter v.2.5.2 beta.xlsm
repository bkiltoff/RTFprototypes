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Main" sheetId="16" r:id="rId1"/>
    <sheet name="Index" sheetId="13" state="hidden" r:id="rId2"/>
    <sheet name="Ranked Sections" sheetId="14" state="hidden" r:id="rId3"/>
  </sheets>
  <definedNames>
    <definedName name="_xlnm._FilterDatabase" localSheetId="1" hidden="1">Index!$S$3:$T$79</definedName>
    <definedName name="_xlnm._FilterDatabase" localSheetId="2" hidden="1">'Ranked Sections'!#REF!</definedName>
    <definedName name="callNumMask">Index!$C$1:$C$191</definedName>
  </definedNames>
  <calcPr calcId="162913"/>
  <fileRecoveryPr autoRecover="0"/>
</workbook>
</file>

<file path=xl/calcChain.xml><?xml version="1.0" encoding="utf-8"?>
<calcChain xmlns="http://schemas.openxmlformats.org/spreadsheetml/2006/main">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<sst xmlns="http://schemas.openxmlformats.org/spreadsheetml/2006/main" count="1028" uniqueCount="338">
  <si>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</si>
  <si>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</si>
  <si>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</si>
  <si>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</si>
  <si>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</si>
  <si>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</si>
  <si>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</si>
  <si>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</si>
  <si>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</si>
  <si>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</si>
  <si>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</si>
  <si>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</si>
  <si>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</si>
  <si>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</si>
  <si>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</si>
  <si>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</si>
  <si>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</si>
  <si>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</si>
  <si>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</si>
  <si>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</si>
  <si>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</si>
  <si>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</si>
  <si>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</si>
  <si>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</si>
  <si>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</si>
  <si>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</si>
  <si>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</si>
  <si>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</si>
  <si>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</si>
  <si>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</si>
  <si>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</si>
  <si>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</si>
  <si>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</si>
  <si>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</si>
  <si>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</si>
  <si>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</si>
  <si>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</si>
  <si>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</si>
  <si>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</si>
  <si>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</si>
  <si>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</si>
  <si>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</si>
  <si>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</si>
  <si>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</si>
  <si>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</si>
  <si>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</si>
  <si>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</si>
  <si>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</si>
  <si>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</si>
  <si>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</si>
  <si>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</si>
  <si>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</si>
  <si>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</si>
  <si>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</si>
  <si>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</si>
  <si>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</si>
  <si>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</si>
  <si>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</si>
  <si>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</si>
  <si>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</si>
  <si>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</si>
  <si>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</si>
  <si>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</si>
  <si>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</si>
  <si>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</si>
  <si>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</si>
  <si>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</si>
  <si>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</si>
  <si>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</si>
  <si>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</si>
  <si>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</si>
  <si>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</si>
  <si>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</si>
  <si>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</si>
  <si>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</si>
  <si>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</si>
  <si>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</si>
  <si>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</si>
  <si>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</si>
  <si>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</si>
  <si>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</si>
  <si>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</si>
  <si>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</si>
  <si>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</si>
  <si>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</si>
  <si>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</si>
  <si>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</si>
  <si>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</si>
  <si>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</si>
  <si>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</si>
  <si>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</si>
  <si>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</si>
  <si>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</si>
  <si>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</si>
  <si>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</si>
  <si>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</si>
  <si>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</si>
  <si>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</si>
  <si>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</si>
  <si>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</si>
  <si>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</si>
  <si>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</si>
  <si>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</si>
  <si>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</si>
  <si>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</si>
  <si>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</si>
  <si>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</si>
  <si>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</si>
  <si>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</si>
  <si>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</si>
  <si>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</si>
  <si>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</si>
  <si>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</si>
  <si>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</si>
  <si>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</si>
  <si>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</si>
  <si>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</si>
  <si>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</si>
  <si>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</si>
  <si>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</si>
  <si>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</si>
  <si>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</si>
  <si>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</si>
  <si>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</si>
  <si>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</si>
  <si>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</si>
  <si>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</si>
  <si>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</si>
  <si>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</si>
  <si>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</si>
  <si>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</si>
  <si>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</si>
  <si>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</si>
  <si>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</si>
  <si>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</si>
  <si>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</si>
  <si>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</si>
  <si>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</si>
  <si>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</si>
  <si>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</si>
  <si>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</si>
  <si>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</si>
  <si>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</si>
  <si>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</si>
  <si>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</si>
  <si>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</si>
  <si>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</si>
  <si>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</si>
  <si>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</si>
  <si>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</si>
  <si>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</si>
  <si>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</si>
  <si>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</si>
  <si>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</si>
  <si>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</si>
  <si>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</si>
  <si>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</si>
  <si>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</si>
  <si>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</si>
  <si>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</si>
  <si>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</si>
  <si>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</si>
  <si>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</si>
  <si>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</si>
  <si>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</si>
  <si>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</si>
  <si>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</si>
  <si>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</si>
  <si>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</si>
  <si>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</si>
  <si>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</si>
  <si>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</si>
  <si>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</si>
  <si>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</si>
  <si>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</si>
  <si>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</si>
  <si>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</si>
  <si>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</si>
  <si>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</si>
  <si>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</si>
  <si>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</si>
  <si>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</si>
  <si>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</si>
  <si>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</si>
  <si>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</si>
  <si>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</si>
  <si>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</si>
  <si>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</si>
  <si>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</si>
  <si>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</si>
  <si>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</si>
  <si>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</si>
  <si>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</si>
  <si>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</si>
  <si>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</si>
  <si>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</si>
  <si>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</si>
  <si>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</si>
  <si>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</si>
  <si>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</si>
  <si>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</si>
  <si>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</si>
  <si>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</si>
  <si>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</si>
  <si>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</si>
  <si>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</si>
  <si>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</si>
  <si>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</si>
  <si>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</si>
  <si>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</si>
  <si>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</si>
  <si>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</si>
  <si>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</si>
  <si>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</si>
  <si>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</si>
  <si>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</si>
  <si>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</si>
  <si>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</si>
  <si>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</si>
  <si>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</si>
  <si>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</si>
  <si>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</si>
  <si>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</si>
  <si>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</si>
  <si>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</si>
  <si>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</si>
  <si>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</si>
  <si>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</si>
  <si>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</si>
  <si>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</si>
  <si>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</si>
  <si>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</si>
  <si>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</si>
  <si>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</si>
  <si>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</si>
  <si>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</si>
  <si>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</si>
  <si>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</si>
  <si>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</si>
  <si>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</si>
  <si>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</si>
  <si>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</si>
  <si>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</si>
  <si>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</si>
  <si>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</si>
  <si>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</si>
  <si>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</si>
  <si>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</si>
  <si>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</si>
  <si>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</si>
  <si>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</si>
  <si>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</si>
  <si>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</si>
  <si>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</si>
  <si>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</si>
  <si>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</si>
  <si>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</si>
  <si>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</si>
  <si>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</si>
  <si>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</si>
  <si>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</si>
  <si>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</si>
  <si>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</si>
  <si>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</si>
  <si>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</si>
  <si>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</si>
  <si>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</si>
  <si>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</si>
  <si>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</si>
  <si>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</si>
  <si>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</si>
  <si>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</si>
  <si>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</si>
  <si>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</si>
  <si>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</si>
  <si>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</si>
  <si>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</si>
  <si>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</si>
  <si>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</si>
  <si>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</si>
  <si>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</si>
  <si>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</si>
  <si>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</si>
  <si>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</si>
  <si>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</si>
  <si>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</si>
  <si>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</si>
  <si>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</si>
  <si>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</si>
  <si>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</si>
  <si>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</si>
  <si>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</si>
  <si>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</si>
  <si>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</si>
  <si>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</si>
  <si>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</si>
  <si>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</si>
  <si>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</si>
  <si>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</si>
  <si>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</si>
  <si>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</si>
  <si>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</si>
  <si>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</si>
  <si>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</si>
  <si>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</si>
  <si>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</si>
  <si>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</si>
  <si>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</si>
  <si>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</si>
  <si>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</si>
  <si>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</si>
  <si>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</si>
  <si>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</si>
  <si>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</si>
  <si>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</si>
  <si>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</si>
  <si>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</si>
  <si>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</si>
  <si>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</si>
  <si>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</si>
  <si>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</si>
  <si>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</si>
  <si>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</si>
  <si>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</si>
  <si>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</si>
  <si>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</si>
  <si>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</si>
  <si>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</si>
  <si>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</si>
  <si>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</si>
  <si>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</si>
  <si>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</si>
  <si>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</si>
  <si>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</si>
  <si>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</si>
  <si>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</si>
  <si>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</si>
  <si>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Failed Search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</si>
</sst>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b/>
      <sz val="10"/>
      <name val="Arial"/>
      <family val="2"/>
    </font>
    <font>
      <i/>
      <sz val="10"/>
      <name val="Arial"/>
      <family val="2"/>
    </font>
    <font>
      <sz val="14"/>
      <name val="Arial"/>
    </font>
    <font>
      <i/>
      <sz val="14"/>
      <color theme="1"/>
      <name val="Calibri"/>
      <family val="2"/>
      <scheme val="minor"/>
    </font>
  </fonts>
  <fills count="3">
    <fill>
      <patternFill patternType="none"/>
    </fill>
    <fill>
      <patternFill patternType="gray125"/>
    </fill>
    <fill>
      <patternFill patternType="solid">
        <fgColor rgb="FFA5A5A5"/>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9">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4" fillId="0" borderId="0" xfId="0" applyFont="1"/>
    <xf numFmtId="0" fontId="15" fillId="0" borderId="0" xfId="0" applyFont="1" applyProtection="1">
      <protection locked="0"/>
    </xf>
    <xf numFmtId="0" fontId="5" fillId="0" borderId="0" xfId="2" applyNumberFormat="1" applyFont="1" applyFill="1" applyBorder="1" applyAlignment="1">
      <alignment wrapText="1"/>
    </xf>
    <xf numFmtId="0" fontId="12" fillId="2" borderId="4" xfId="5" applyBorder="1" applyAlignment="1">
      <alignment horizontal="left" indent="1"/>
    </xf>
    <xf numFmtId="0" fontId="12" fillId="2" borderId="3" xfId="5" applyBorder="1"/>
    <xf numFmtId="0" fontId="16" fillId="0" borderId="0" xfId="2" applyFont="1" applyFill="1" applyBorder="1" applyAlignment="1">
      <alignment horizontal="left" wrapText="1"/>
    </xf>
  </cellXfs>
  <cellStyles count="6">
    <cellStyle name="Check Cell" xfId="5" builtinId="23"/>
    <cellStyle name="Normal" xfId="0" builtinId="0"/>
    <cellStyle name="Normal 2" xfId="1"/>
    <cellStyle name="Normal 3" xfId="2"/>
    <cellStyle name="Normal 4" xfId="3"/>
    <cellStyle name="Normal 5" xfId="4"/>
  </cellStyles>
  <dxfs count="14">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9175937" y="457200"/>
          <a:ext cx="2881593" cy="4958977"/>
          <a:chOff x="12851466" y="457201"/>
          <a:chExt cx="5109881" cy="2617893"/>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1"/>
                <a:ext cx="2888315" cy="96426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tabSelected="1" workbookViewId="0"/>
  </sheetViews>
  <sheetFormatPr defaultRowHeight="12.75" x14ac:dyDescent="0.2"/>
  <sheetData>
    <row r="3" spans="6:7" x14ac:dyDescent="0.2">
      <c r="F3" s="22" t="s">
        <v>331</v>
      </c>
    </row>
    <row r="4" spans="6:7" x14ac:dyDescent="0.2">
      <c r="G4" s="23" t="s">
        <v>332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5"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6"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80" r:id="rId7"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91"/>
  <sheetViews>
    <sheetView zoomScale="85" zoomScaleNormal="85" workbookViewId="0">
      <selection activeCell="G5" sqref="G5"/>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hidden="1" customWidth="1"/>
    <col min="5" max="5" width="9.85546875" style="6" hidden="1" customWidth="1"/>
    <col min="6" max="6" width="38.7109375" style="6" hidden="1" customWidth="1"/>
    <col min="7" max="7" width="16" bestFit="1" customWidth="1"/>
    <col min="8" max="8" width="31.140625" style="7" customWidth="1"/>
    <col min="9" max="9" width="25.7109375" bestFit="1" customWidth="1"/>
    <col min="10" max="10" width="26.28515625" style="7" bestFit="1" customWidth="1"/>
    <col min="11" max="14" width="8.85546875" style="6"/>
    <col min="15" max="15" width="10.7109375" style="6" bestFit="1" customWidth="1"/>
    <col min="16" max="18" width="8.85546875" style="6"/>
    <col min="19" max="19" width="8" style="6" customWidth="1"/>
    <col min="20" max="16384" width="8.85546875" style="6"/>
  </cols>
  <sheetData>
    <row r="1" spans="1:10" ht="38.25" thickBot="1" x14ac:dyDescent="0.35">
      <c r="A1" s="10" t="s">
        <v>291</v>
      </c>
      <c r="B1" s="10" t="s">
        <v>295</v>
      </c>
      <c r="C1" s="10" t="s">
        <v>294</v>
      </c>
      <c r="D1" s="10" t="s">
        <v>303</v>
      </c>
      <c r="E1" s="10" t="s">
        <v>304</v>
      </c>
      <c r="F1" s="10" t="s">
        <v>286</v>
      </c>
      <c r="G1" s="10" t="s">
        <v>293</v>
      </c>
      <c r="H1" s="28" t="s">
        <v>302</v>
      </c>
      <c r="I1" s="2" t="s">
        <v>292</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269</v>
      </c>
      <c r="G2" s="8"/>
      <c r="H2" s="8" t="s">
        <v>135</v>
      </c>
      <c r="I2" s="20" t="s">
        <v>336</v>
      </c>
      <c r="J2" s="6"/>
    </row>
    <row r="3" spans="1:10" ht="20.25" thickTop="1" thickBot="1" x14ac:dyDescent="0.35">
      <c r="A3" s="8" t="s">
        <v>47</v>
      </c>
      <c r="B3" s="8" t="b">
        <f>ISNUMBER(IndexTbl[[#This Row],[Class]])</f>
        <v>1</v>
      </c>
      <c r="C3" s="8" t="str">
        <f>TRIM(IndexTbl[[#This Row],[Prefix]]&amp;IF(NOT(IndexTbl[[#This Row],[Dewey Number]])," "&amp;IndexTbl[[#This Row],[Class]],""))</f>
        <v>J</v>
      </c>
      <c r="D3" s="9" t="s">
        <v>88</v>
      </c>
      <c r="E3" s="9">
        <v>999.99</v>
      </c>
      <c r="F3" s="9" t="s">
        <v>252</v>
      </c>
      <c r="G3" s="8"/>
      <c r="H3" s="8" t="s">
        <v>91</v>
      </c>
      <c r="I3" s="20" t="s">
        <v>335</v>
      </c>
      <c r="J3" s="6"/>
    </row>
    <row r="4" spans="1:10" ht="20.25" thickTop="1" thickBot="1" x14ac:dyDescent="0.3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
        <v>335</v>
      </c>
      <c r="J4" s="6"/>
    </row>
    <row r="5" spans="1:10" ht="20.25" thickTop="1" thickBot="1" x14ac:dyDescent="0.3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
        <v>336</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59</v>
      </c>
      <c r="F6" s="9" t="s">
        <v>266</v>
      </c>
      <c r="G6" s="8"/>
      <c r="H6" s="8" t="s">
        <v>136</v>
      </c>
      <c r="I6" s="20" t="s">
        <v>335</v>
      </c>
      <c r="J6" s="6"/>
    </row>
    <row r="7" spans="1:10" ht="20.25" thickTop="1" thickBot="1" x14ac:dyDescent="0.3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
        <v>333</v>
      </c>
      <c r="J7" s="6"/>
    </row>
    <row r="8" spans="1:10" ht="20.25" thickTop="1" thickBot="1" x14ac:dyDescent="0.3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
        <v>335</v>
      </c>
      <c r="J8" s="6"/>
    </row>
    <row r="9" spans="1:10" ht="20.25" thickTop="1" thickBot="1" x14ac:dyDescent="0.3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
        <v>333</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
        <v>336</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
        <v>334</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
        <v>333</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
        <v>333</v>
      </c>
      <c r="J13" s="6"/>
    </row>
    <row r="14" spans="1:10" ht="20.25" thickTop="1" thickBot="1" x14ac:dyDescent="0.3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
        <v>335</v>
      </c>
      <c r="J14" s="6"/>
    </row>
    <row r="15" spans="1:10" ht="20.25" thickTop="1" thickBot="1" x14ac:dyDescent="0.3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
        <v>335</v>
      </c>
      <c r="J15" s="6"/>
    </row>
    <row r="16" spans="1:10" ht="20.25" thickTop="1" thickBot="1" x14ac:dyDescent="0.3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
        <v>334</v>
      </c>
      <c r="J16" s="6"/>
    </row>
    <row r="17" spans="1:10" ht="20.25" thickTop="1" thickBot="1" x14ac:dyDescent="0.3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
        <v>335</v>
      </c>
      <c r="J17" s="6"/>
    </row>
    <row r="18" spans="1:10" ht="20.25" thickTop="1" thickBot="1" x14ac:dyDescent="0.3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
        <v>336</v>
      </c>
      <c r="J18" s="6"/>
    </row>
    <row r="19" spans="1:10" ht="20.25" thickTop="1" thickBot="1" x14ac:dyDescent="0.3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
        <v>335</v>
      </c>
      <c r="J19" s="6"/>
    </row>
    <row r="20" spans="1:10" ht="20.25" thickTop="1" thickBot="1" x14ac:dyDescent="0.3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
        <v>336</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
        <v>333</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
        <v>334</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
        <v>334</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
        <v>335</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
        <v>335</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
        <v>336</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
        <v>335</v>
      </c>
      <c r="J27" s="6"/>
    </row>
    <row r="28" spans="1:10" ht="20.25" thickTop="1" thickBot="1" x14ac:dyDescent="0.3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
        <v>333</v>
      </c>
      <c r="J28" s="6"/>
    </row>
    <row r="29" spans="1:10" ht="20.25" thickTop="1" thickBot="1" x14ac:dyDescent="0.3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
        <v>336</v>
      </c>
      <c r="J29" s="6"/>
    </row>
    <row r="30" spans="1:10" ht="20.25" thickTop="1" thickBot="1" x14ac:dyDescent="0.35">
      <c r="A30" s="8" t="s">
        <v>25</v>
      </c>
      <c r="B30" s="8" t="b">
        <f>ISNUMBER(IndexTbl[[#This Row],[Class]])</f>
        <v>0</v>
      </c>
      <c r="C30" s="8" t="str">
        <f>TRIM(IndexTbl[[#This Row],[Prefix]]&amp;IF(NOT(IndexTbl[[#This Row],[Dewey Number]])," "&amp;IndexTbl[[#This Row],[Class]],""))</f>
        <v>J</v>
      </c>
      <c r="D30" s="9" t="s">
        <v>88</v>
      </c>
      <c r="E30" s="9"/>
      <c r="F30" s="9" t="s">
        <v>258</v>
      </c>
      <c r="G30" s="8"/>
      <c r="H30" s="8" t="s">
        <v>87</v>
      </c>
      <c r="I30" s="20" t="s">
        <v>333</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
        <v>333</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
        <v>336</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
        <v>334</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
        <v>335</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
        <v>335</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
        <v>336</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
        <v>335</v>
      </c>
      <c r="J37" s="6"/>
    </row>
    <row r="38" spans="1:10" ht="20.25" thickTop="1" thickBot="1" x14ac:dyDescent="0.35">
      <c r="A38" s="8" t="s">
        <v>28</v>
      </c>
      <c r="B38" s="8" t="b">
        <f>ISNUMBER(IndexTbl[[#This Row],[Class]])</f>
        <v>0</v>
      </c>
      <c r="C38" s="8" t="str">
        <f>TRIM(IndexTbl[[#This Row],[Prefix]]&amp;IF(NOT(IndexTbl[[#This Row],[Dewey Number]])," "&amp;IndexTbl[[#This Row],[Class]],""))</f>
        <v>E</v>
      </c>
      <c r="D38" s="9" t="s">
        <v>54</v>
      </c>
      <c r="E38" s="9"/>
      <c r="F38" s="9" t="s">
        <v>250</v>
      </c>
      <c r="G38" s="8"/>
      <c r="H38" s="8" t="s">
        <v>288</v>
      </c>
      <c r="I38" s="20" t="s">
        <v>333</v>
      </c>
      <c r="J38" s="6"/>
    </row>
    <row r="39" spans="1:10" ht="20.25" thickTop="1" thickBot="1" x14ac:dyDescent="0.3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
        <v>333</v>
      </c>
      <c r="J39" s="6"/>
    </row>
    <row r="40" spans="1:10" ht="20.25" thickTop="1" thickBot="1" x14ac:dyDescent="0.35">
      <c r="A40" s="8" t="s">
        <v>29</v>
      </c>
      <c r="B40" s="8" t="b">
        <f>ISNUMBER(IndexTbl[[#This Row],[Class]])</f>
        <v>0</v>
      </c>
      <c r="C40" s="8" t="str">
        <f>TRIM(IndexTbl[[#This Row],[Prefix]]&amp;IF(NOT(IndexTbl[[#This Row],[Dewey Number]])," "&amp;IndexTbl[[#This Row],[Class]],""))</f>
        <v>E</v>
      </c>
      <c r="D40" s="9" t="s">
        <v>54</v>
      </c>
      <c r="E40" s="9"/>
      <c r="F40" s="9" t="s">
        <v>250</v>
      </c>
      <c r="G40" s="8"/>
      <c r="H40" s="8" t="s">
        <v>249</v>
      </c>
      <c r="I40" s="20" t="s">
        <v>334</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
        <v>334</v>
      </c>
      <c r="J41" s="6"/>
    </row>
    <row r="42" spans="1:10" ht="20.25" thickTop="1" thickBot="1" x14ac:dyDescent="0.3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
        <v>335</v>
      </c>
      <c r="J42" s="6"/>
    </row>
    <row r="43" spans="1:10" ht="20.25" thickTop="1" thickBot="1" x14ac:dyDescent="0.3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
        <v>336</v>
      </c>
      <c r="J43" s="6"/>
    </row>
    <row r="44" spans="1:10" ht="20.25" thickTop="1" thickBot="1" x14ac:dyDescent="0.3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
        <v>336</v>
      </c>
      <c r="J44" s="6"/>
    </row>
    <row r="45" spans="1:10" ht="20.25" thickTop="1" thickBot="1" x14ac:dyDescent="0.3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
        <v>336</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
        <v>335</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
        <v>334</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
        <v>333</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
        <v>333</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
        <v>336</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
        <v>333</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
        <v>335</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
        <v>335</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
        <v>335</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
        <v>333</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
        <v>333</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
        <v>335</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
        <v>333</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
        <v>335</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
        <v>333</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
        <v>335</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
        <v>334</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
        <v>334</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
        <v>333</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
        <v>336</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
        <v>335</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
        <v>333</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
        <v>334</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
        <v>335</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
        <v>335</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
        <v>333</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
        <v>335</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
        <v>333</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
        <v>336</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
        <v>334</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
        <v>334</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
        <v>336</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
        <v>334</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
        <v>333</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
        <v>333</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
        <v>335</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
        <v>335</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
        <v>336</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
        <v>333</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
        <v>334</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
        <v>335</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
        <v>334</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
        <v>333</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
        <v>334</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
        <v>336</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
        <v>333</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
        <v>335</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
        <v>333</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
        <v>335</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
        <v>335</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
        <v>335</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
        <v>335</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
        <v>333</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
        <v>336</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
        <v>336</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
        <v>334</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
        <v>334</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
        <v>336</v>
      </c>
      <c r="J103" s="6"/>
    </row>
    <row r="104" spans="1:10" ht="20.25" thickTop="1" thickBot="1" x14ac:dyDescent="0.3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
        <v>336</v>
      </c>
      <c r="J104" s="6"/>
    </row>
    <row r="105" spans="1:10" ht="20.25" thickTop="1" thickBot="1" x14ac:dyDescent="0.3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
        <v>334</v>
      </c>
      <c r="J105" s="6"/>
    </row>
    <row r="106" spans="1:10" ht="20.25" thickTop="1" thickBot="1" x14ac:dyDescent="0.3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
        <v>333</v>
      </c>
      <c r="J106" s="6"/>
    </row>
    <row r="107" spans="1:10" ht="20.25" thickTop="1" thickBot="1" x14ac:dyDescent="0.3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
        <v>334</v>
      </c>
      <c r="J107" s="6"/>
    </row>
    <row r="108" spans="1:10" ht="20.25" thickTop="1" thickBot="1" x14ac:dyDescent="0.3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
        <v>333</v>
      </c>
      <c r="J108" s="6"/>
    </row>
    <row r="109" spans="1:10" ht="20.25" thickTop="1" thickBot="1" x14ac:dyDescent="0.3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
        <v>335</v>
      </c>
      <c r="J109" s="6"/>
    </row>
    <row r="110" spans="1:10" ht="20.25" thickTop="1" thickBot="1" x14ac:dyDescent="0.3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
        <v>335</v>
      </c>
      <c r="J110" s="6"/>
    </row>
    <row r="111" spans="1:10" ht="20.25" thickTop="1" thickBot="1" x14ac:dyDescent="0.3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
        <v>334</v>
      </c>
      <c r="J111" s="6"/>
    </row>
    <row r="112" spans="1:10" ht="20.25" thickTop="1" thickBot="1" x14ac:dyDescent="0.3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
        <v>335</v>
      </c>
      <c r="J112" s="6"/>
    </row>
    <row r="113" spans="1:10" ht="20.25" thickTop="1" thickBot="1" x14ac:dyDescent="0.3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
        <v>336</v>
      </c>
      <c r="J113" s="6"/>
    </row>
    <row r="114" spans="1:10" ht="20.25" thickTop="1" thickBot="1" x14ac:dyDescent="0.3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
        <v>333</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
        <v>333</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
        <v>333</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
        <v>336</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
        <v>333</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
        <v>334</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
        <v>336</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
        <v>336</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
        <v>336</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
        <v>336</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
        <v>333</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
        <v>335</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
        <v>334</v>
      </c>
      <c r="J126" s="6"/>
    </row>
    <row r="127" spans="1:10" ht="20.25" thickTop="1" thickBot="1" x14ac:dyDescent="0.3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
        <v>334</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
        <v>336</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
        <v>333</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
        <v>333</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
        <v>336</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
        <v>336</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
        <v>334</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
        <v>336</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
        <v>336</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
        <v>333</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
        <v>335</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
        <v>333</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
        <v>336</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
        <v>333</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
        <v>334</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
        <v>334</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
        <v>335</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
        <v>336</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
        <v>334</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
        <v>334</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
        <v>336</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
        <v>333</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
        <v>336</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
        <v>334</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
        <v>336</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
        <v>336</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
        <v>335</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
        <v>335</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
        <v>334</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
        <v>333</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
        <v>335</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
        <v>335</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
        <v>336</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
        <v>334</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
        <v>333</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
        <v>336</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
        <v>333</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
        <v>334</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
        <v>333</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
        <v>335</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
        <v>333</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
        <v>333</v>
      </c>
      <c r="J168" s="6"/>
    </row>
    <row r="169" spans="1:10" ht="20.25" thickTop="1" thickBot="1" x14ac:dyDescent="0.35">
      <c r="A169" s="1" t="s">
        <v>46</v>
      </c>
      <c r="B169" s="3" t="b">
        <f>ISNUMBER(IndexTbl[[#This Row],[Class]])</f>
        <v>0</v>
      </c>
      <c r="C169" s="8" t="str">
        <f>TRIM(IndexTbl[[#This Row],[Prefix]]&amp;IF(NOT(IndexTbl[[#This Row],[Dewey Number]])," "&amp;IndexTbl[[#This Row],[Class]],""))</f>
        <v/>
      </c>
      <c r="D169" s="4"/>
      <c r="E169" s="4"/>
      <c r="F169" s="4" t="s">
        <v>251</v>
      </c>
      <c r="G169" s="1"/>
      <c r="H169" s="1" t="s">
        <v>46</v>
      </c>
      <c r="I169" s="20" t="s">
        <v>336</v>
      </c>
      <c r="J169"/>
    </row>
    <row r="170" spans="1:10" ht="20.25" thickTop="1" thickBot="1" x14ac:dyDescent="0.35">
      <c r="A170" s="8" t="s">
        <v>307</v>
      </c>
      <c r="B170" s="8" t="b">
        <f>ISNUMBER(IndexTbl[[#This Row],[Class]])</f>
        <v>0</v>
      </c>
      <c r="C170" s="8" t="str">
        <f>TRIM(IndexTbl[[#This Row],[Prefix]]&amp;IF(NOT(IndexTbl[[#This Row],[Dewey Number]])," "&amp;IndexTbl[[#This Row],[Class]],""))</f>
        <v/>
      </c>
      <c r="D170" s="9"/>
      <c r="E170" s="9"/>
      <c r="F170" s="4" t="s">
        <v>251</v>
      </c>
      <c r="G170" s="1"/>
      <c r="H170" s="1" t="s">
        <v>330</v>
      </c>
      <c r="I170" s="20" t="s">
        <v>334</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251</v>
      </c>
      <c r="G171" s="3"/>
      <c r="H171" s="3" t="s">
        <v>37</v>
      </c>
      <c r="I171" s="20" t="s">
        <v>336</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
        <v>336</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
        <v>334</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
        <v>334</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
        <v>335</v>
      </c>
      <c r="J175"/>
    </row>
    <row r="176" spans="1:10" ht="20.25" thickTop="1" thickBot="1" x14ac:dyDescent="0.3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
        <v>336</v>
      </c>
      <c r="J176"/>
    </row>
    <row r="177" spans="1:10" ht="20.25" thickTop="1" thickBot="1" x14ac:dyDescent="0.3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
        <v>335</v>
      </c>
      <c r="J177"/>
    </row>
    <row r="178" spans="1:10" ht="20.25" thickTop="1" thickBot="1" x14ac:dyDescent="0.3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
        <v>334</v>
      </c>
      <c r="J178"/>
    </row>
    <row r="179" spans="1:10" ht="20.25" thickTop="1" thickBot="1" x14ac:dyDescent="0.3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
        <v>334</v>
      </c>
      <c r="J179"/>
    </row>
    <row r="180" spans="1:10" ht="20.25" thickTop="1" thickBot="1" x14ac:dyDescent="0.3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
        <v>335</v>
      </c>
      <c r="J180"/>
    </row>
    <row r="181" spans="1:10" ht="20.25" thickTop="1" thickBot="1" x14ac:dyDescent="0.3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
        <v>333</v>
      </c>
      <c r="J181"/>
    </row>
    <row r="182" spans="1:10" ht="20.25" thickTop="1" thickBot="1" x14ac:dyDescent="0.3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
        <v>336</v>
      </c>
      <c r="J182"/>
    </row>
    <row r="183" spans="1:10" ht="20.25" thickTop="1" thickBot="1" x14ac:dyDescent="0.3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20.25" thickTop="1" thickBot="1" x14ac:dyDescent="0.3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20.25" thickTop="1" thickBot="1" x14ac:dyDescent="0.3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20.25" thickTop="1" thickBot="1" x14ac:dyDescent="0.3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20.25" thickTop="1" thickBot="1" x14ac:dyDescent="0.3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20.25" thickTop="1" thickBot="1" x14ac:dyDescent="0.35">
      <c r="A189" s="3"/>
      <c r="B189" s="3" t="b">
        <f>ISNUMBER(IndexTbl[[#This Row],[Class]])</f>
        <v>0</v>
      </c>
      <c r="C189" s="8" t="str">
        <f>TRIM(IndexTbl[[#This Row],[Prefix]]&amp;IF(NOT(IndexTbl[[#This Row],[Dewey Number]])," "&amp;IndexTbl[[#This Row],[Class]],""))</f>
        <v>TPBK</v>
      </c>
      <c r="D189" s="4" t="s">
        <v>248</v>
      </c>
      <c r="E189" s="4"/>
      <c r="F189" s="4" t="s">
        <v>251</v>
      </c>
      <c r="G189" s="1"/>
      <c r="H189" s="1" t="s">
        <v>247</v>
      </c>
      <c r="I189" s="27" t="s">
        <v>287</v>
      </c>
      <c r="J189"/>
    </row>
    <row r="190" spans="1:10" ht="20.25" thickTop="1" thickBot="1" x14ac:dyDescent="0.3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5" thickTop="1" x14ac:dyDescent="0.3">
      <c r="A191" s="3" t="s">
        <v>337</v>
      </c>
      <c r="B191" s="25" t="b">
        <f>ISNUMBER(IndexTbl[[#This Row],[Class]])</f>
        <v>0</v>
      </c>
      <c r="C191" s="25" t="str">
        <f>TRIM(IndexTbl[[#This Row],[Prefix]]&amp;IF(NOT(IndexTbl[[#This Row],[Dewey Number]])," "&amp;IndexTbl[[#This Row],[Class]],""))</f>
        <v/>
      </c>
      <c r="D191" s="4"/>
      <c r="E191" s="4"/>
      <c r="F191" s="4"/>
      <c r="G191" s="3"/>
      <c r="H191" s="4"/>
      <c r="I191" s="26" t="s">
        <v>287</v>
      </c>
      <c r="J191"/>
    </row>
  </sheetData>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election activeCell="A6" sqref="A6"/>
    </sheetView>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292</v>
      </c>
      <c r="B1" s="13"/>
      <c r="F1" s="16"/>
      <c r="H1" s="13"/>
    </row>
    <row r="2" spans="1:8" x14ac:dyDescent="0.25">
      <c r="A2" s="24" t="s">
        <v>333</v>
      </c>
      <c r="B2" s="13"/>
      <c r="F2" s="16"/>
      <c r="G2" s="18"/>
      <c r="H2" s="13"/>
    </row>
    <row r="3" spans="1:8" x14ac:dyDescent="0.25">
      <c r="A3" s="24" t="s">
        <v>334</v>
      </c>
      <c r="B3" s="13"/>
      <c r="F3" s="16"/>
      <c r="G3" s="18"/>
      <c r="H3" s="13"/>
    </row>
    <row r="4" spans="1:8" x14ac:dyDescent="0.25">
      <c r="A4" s="24" t="s">
        <v>335</v>
      </c>
      <c r="B4" s="13"/>
      <c r="F4" s="16"/>
      <c r="G4" s="17"/>
      <c r="H4" s="13"/>
    </row>
    <row r="5" spans="1:8" x14ac:dyDescent="0.25">
      <c r="A5" s="24" t="s">
        <v>336</v>
      </c>
      <c r="B5" s="13"/>
      <c r="F5" s="16"/>
      <c r="H5" s="13"/>
    </row>
    <row r="6" spans="1:8" x14ac:dyDescent="0.25">
      <c r="A6" s="11" t="s">
        <v>287</v>
      </c>
      <c r="B6" s="13"/>
      <c r="F6" s="16"/>
      <c r="H6" s="13"/>
    </row>
    <row r="7" spans="1:8" x14ac:dyDescent="0.25">
      <c r="A7" s="19" t="s">
        <v>301</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523875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2015-11-24T23:08:46Z</dcterms:modified>
</cp:coreProperties>
</file>