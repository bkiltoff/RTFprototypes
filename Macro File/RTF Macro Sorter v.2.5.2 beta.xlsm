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bookViews>
  <sheets>
    <sheet name="Main" sheetId="16" r:id="rId1"/>
    <sheet name="Index" sheetId="13" state="hidden" r:id="rId2"/>
    <sheet name="Ranked Sections" sheetId="14" state="hidden" r:id="rId3"/>
  </sheets>
  <definedNames>
    <definedName name="_xlnm._FilterDatabase" localSheetId="1" hidden="1">Index!$S$3:$T$79</definedName>
    <definedName name="_xlnm._FilterDatabase" localSheetId="2" hidden="1">'Ranked Sections'!#REF!</definedName>
    <definedName name="callNumMask">Index!$C$1:$C$191</definedName>
  </definedNames>
  <calcPr calcId="162913"/>
  <fileRecoveryPr autoRecover="0"/>
</workbook>
</file>

<file path=xl/calcChain.xml><?xml version="1.0" encoding="utf-8"?>
<calcChain xmlns="http://schemas.openxmlformats.org/spreadsheetml/2006/main">
  <c r="B191" i="13" l="1"/>
  <c r="C191"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<sst xmlns="http://schemas.openxmlformats.org/spreadsheetml/2006/main" count="1028" uniqueCount="338">
  <si>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</si>
  <si>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</si>
  <si>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</si>
  <si>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</si>
  <si>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</si>
  <si>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</si>
  <si>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</si>
  <si>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</si>
  <si>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</si>
  <si>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</si>
  <si>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</si>
  <si>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</si>
  <si>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</si>
  <si>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</si>
  <si>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</si>
  <si>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</si>
  <si>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</si>
  <si>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</si>
  <si>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</si>
  <si>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</si>
  <si>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</si>
  <si>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</si>
  <si>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</si>
  <si>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</si>
  <si>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</si>
  <si>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</si>
  <si>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</si>
  <si>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</si>
  <si>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</si>
  <si>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</si>
  <si>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</si>
  <si>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</si>
  <si>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</si>
  <si>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</si>
  <si>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</si>
  <si>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</si>
  <si>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</si>
  <si>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</si>
  <si>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</si>
  <si>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</si>
  <si>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</si>
  <si>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</si>
  <si>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</si>
  <si>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</si>
  <si>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</si>
  <si>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</si>
  <si>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</si>
  <si>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</si>
  <si>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</si>
  <si>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</si>
  <si>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</si>
  <si>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</si>
  <si>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</si>
  <si>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</si>
  <si>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</si>
  <si>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</si>
  <si>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</si>
  <si>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</si>
  <si>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</si>
  <si>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</si>
  <si>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</si>
  <si>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</si>
  <si>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</si>
  <si>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</si>
  <si>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</si>
  <si>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</si>
  <si>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</si>
  <si>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</si>
  <si>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</si>
  <si>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</si>
  <si>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</si>
  <si>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</si>
  <si>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</si>
  <si>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</si>
  <si>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</si>
  <si>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</si>
  <si>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</si>
  <si>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</si>
  <si>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</si>
  <si>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</si>
  <si>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</si>
  <si>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</si>
  <si>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</si>
  <si>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</si>
  <si>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</si>
  <si>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</si>
  <si>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</si>
  <si>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</si>
  <si>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</si>
  <si>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</si>
  <si>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</si>
  <si>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</si>
  <si>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</si>
  <si>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</si>
  <si>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</si>
  <si>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</si>
  <si>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</si>
  <si>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</si>
  <si>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</si>
  <si>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</si>
  <si>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</si>
  <si>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</si>
  <si>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</si>
  <si>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</si>
  <si>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</si>
  <si>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</si>
  <si>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</si>
  <si>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</si>
  <si>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</si>
  <si>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</si>
  <si>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</si>
  <si>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</si>
  <si>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</si>
  <si>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</si>
  <si>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</si>
  <si>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</si>
  <si>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</si>
  <si>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</si>
  <si>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</si>
  <si>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</si>
  <si>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</si>
  <si>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</si>
  <si>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</si>
  <si>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</si>
  <si>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</si>
  <si>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</si>
  <si>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</si>
  <si>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</si>
  <si>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</si>
  <si>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</si>
  <si>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</si>
  <si>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</si>
  <si>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</si>
  <si>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</si>
  <si>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</si>
  <si>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</si>
  <si>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</si>
  <si>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</si>
  <si>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</si>
  <si>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</si>
  <si>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</si>
  <si>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</si>
  <si>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</si>
  <si>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</si>
  <si>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</si>
  <si>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</si>
  <si>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</si>
  <si>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</si>
  <si>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</si>
  <si>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</si>
  <si>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</si>
  <si>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</si>
  <si>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</si>
  <si>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</si>
  <si>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</si>
  <si>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</si>
  <si>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</si>
  <si>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</si>
  <si>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</si>
  <si>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</si>
  <si>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</si>
  <si>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</si>
  <si>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</si>
  <si>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</si>
  <si>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</si>
  <si>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</si>
  <si>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</si>
  <si>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</si>
  <si>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</si>
  <si>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</si>
  <si>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</si>
  <si>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</si>
  <si>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</si>
  <si>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</si>
  <si>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</si>
  <si>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</si>
  <si>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</si>
  <si>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</si>
  <si>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</si>
  <si>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</si>
  <si>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</si>
  <si>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</si>
  <si>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</si>
  <si>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</si>
  <si>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</si>
  <si>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</si>
  <si>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</si>
  <si>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</si>
  <si>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</si>
  <si>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</si>
  <si>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</si>
  <si>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</si>
  <si>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</si>
  <si>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</si>
  <si>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</si>
  <si>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</si>
  <si>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</si>
  <si>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</si>
  <si>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</si>
  <si>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</si>
  <si>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</si>
  <si>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</si>
  <si>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</si>
  <si>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</si>
  <si>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</si>
  <si>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</si>
  <si>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</si>
  <si>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</si>
  <si>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</si>
  <si>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</si>
  <si>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</si>
  <si>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</si>
  <si>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</si>
  <si>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</si>
  <si>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</si>
  <si>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</si>
  <si>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</si>
  <si>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</si>
  <si>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</si>
  <si>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</si>
  <si>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</si>
  <si>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</si>
  <si>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</si>
  <si>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</si>
  <si>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</si>
  <si>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</si>
  <si>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</si>
  <si>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</si>
  <si>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</si>
  <si>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</si>
  <si>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</si>
  <si>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</si>
  <si>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</si>
  <si>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</si>
  <si>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</si>
  <si>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</si>
  <si>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</si>
  <si>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</si>
  <si>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</si>
  <si>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</si>
  <si>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</si>
  <si>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</si>
  <si>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</si>
  <si>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</si>
  <si>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</si>
  <si>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</si>
  <si>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</si>
  <si>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</si>
  <si>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</si>
  <si>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</si>
  <si>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</si>
  <si>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</si>
  <si>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</si>
  <si>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</si>
  <si>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</si>
  <si>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</si>
  <si>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</si>
  <si>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</si>
  <si>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</si>
  <si>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</si>
  <si>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</si>
  <si>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</si>
  <si>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</si>
  <si>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</si>
  <si>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</si>
  <si>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</si>
  <si>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</si>
  <si>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</si>
  <si>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</si>
  <si>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</si>
  <si>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</si>
  <si>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</si>
  <si>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</si>
  <si>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</si>
  <si>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</si>
  <si>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</si>
  <si>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</si>
  <si>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</si>
  <si>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</si>
  <si>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</si>
  <si>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</si>
  <si>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</si>
  <si>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</si>
  <si>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</si>
  <si>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</si>
  <si>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</si>
  <si>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</si>
  <si>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</si>
  <si>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</si>
  <si>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</si>
  <si>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</si>
  <si>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</si>
  <si>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</si>
  <si>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</si>
  <si>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</si>
  <si>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</si>
  <si>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</si>
  <si>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</si>
  <si>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</si>
  <si>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</si>
  <si>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</si>
  <si>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</si>
  <si>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</si>
  <si>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</si>
  <si>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</si>
  <si>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</si>
  <si>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</si>
  <si>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</si>
  <si>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</si>
  <si>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</si>
  <si>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</si>
  <si>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</si>
  <si>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</si>
  <si>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</si>
  <si>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</si>
  <si>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</si>
  <si>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</si>
  <si>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</si>
  <si>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</si>
  <si>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</si>
  <si>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</si>
  <si>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</si>
  <si>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</si>
  <si>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</si>
  <si>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</si>
  <si>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</si>
  <si>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</si>
  <si>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</si>
  <si>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</si>
  <si>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</si>
  <si>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</si>
  <si>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</si>
  <si>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</si>
  <si>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</si>
  <si>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</si>
  <si>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</si>
  <si>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</si>
  <si>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Failed 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</si>
</sst>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b/>
      <sz val="10"/>
      <name val="Arial"/>
      <family val="2"/>
    </font>
    <font>
      <i/>
      <sz val="10"/>
      <name val="Arial"/>
      <family val="2"/>
    </font>
    <font>
      <sz val="14"/>
      <name val="Arial"/>
    </font>
    <font>
      <i/>
      <sz val="14"/>
      <color theme="1"/>
      <name val="Calibri"/>
      <family val="2"/>
      <scheme val="minor"/>
    </font>
  </fonts>
  <fills count="3">
    <fill>
      <patternFill patternType="none"/>
    </fill>
    <fill>
      <patternFill patternType="gray125"/>
    </fill>
    <fill>
      <patternFill patternType="solid">
        <fgColor rgb="FFA5A5A5"/>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9">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4" fillId="0" borderId="0" xfId="0" applyFont="1"/>
    <xf numFmtId="0" fontId="15" fillId="0" borderId="0" xfId="0" applyFont="1" applyProtection="1">
      <protection locked="0"/>
    </xf>
    <xf numFmtId="0" fontId="5" fillId="0" borderId="0" xfId="2" applyNumberFormat="1" applyFont="1" applyFill="1" applyBorder="1" applyAlignment="1">
      <alignment wrapText="1"/>
    </xf>
    <xf numFmtId="0" fontId="12" fillId="2" borderId="4" xfId="5" applyBorder="1" applyAlignment="1">
      <alignment horizontal="left" indent="1"/>
    </xf>
    <xf numFmtId="0" fontId="12" fillId="2" borderId="3" xfId="5" applyBorder="1"/>
    <xf numFmtId="0" fontId="16" fillId="0" borderId="0" xfId="2" applyFont="1" applyFill="1" applyBorder="1" applyAlignment="1">
      <alignment horizontal="left" wrapText="1"/>
    </xf>
  </cellXfs>
  <cellStyles count="6">
    <cellStyle name="Check Cell" xfId="5" builtinId="23"/>
    <cellStyle name="Normal" xfId="0" builtinId="0"/>
    <cellStyle name="Normal 2" xfId="1"/>
    <cellStyle name="Normal 3" xfId="2"/>
    <cellStyle name="Normal 4" xfId="3"/>
    <cellStyle name="Normal 5" xfId="4"/>
  </cellStyles>
  <dxfs count="14">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9175937" y="457200"/>
          <a:ext cx="2881593" cy="4958977"/>
          <a:chOff x="12851466" y="457201"/>
          <a:chExt cx="5109881" cy="2617893"/>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1"/>
                <a:ext cx="2888315" cy="96426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451412" y="209550"/>
          <a:ext cx="5924176"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1" totalsRowShown="0" headerRowDxfId="13" dataDxfId="12" headerRowCellStyle="Normal 3" dataCellStyle="Normal 3">
  <tableColumns count="9">
    <tableColumn id="4" name="Collection Name" dataDxfId="11" dataCellStyle="Normal 3"/>
    <tableColumn id="5" name="Dewey Number" dataDxfId="10" dataCellStyle="Normal 3">
      <calculatedColumnFormula>ISNUMBER(IndexTbl[[#This Row],[Class]])</calculatedColumnFormula>
    </tableColumn>
    <tableColumn id="6" name="Call Number Mask" dataDxfId="9" dataCellStyle="Normal 3">
      <calculatedColumnFormula>TRIM(IndexTbl[[#This Row],[Prefix]]&amp;IF(NOT(IndexTbl[[#This Row],[Dewey Number]])," "&amp;IndexTbl[[#This Row],[Class]],""))</calculatedColumnFormula>
    </tableColumn>
    <tableColumn id="7" name="Prefix" dataDxfId="8" dataCellStyle="Normal 3"/>
    <tableColumn id="8" name="Class" dataDxfId="7" dataCellStyle="Normal 3"/>
    <tableColumn id="9" name="Cutter [{Subject},{Author},{Other}]" dataDxfId="6" dataCellStyle="Normal 3"/>
    <tableColumn id="1" name="Shelf Location" dataDxfId="5" dataCellStyle="Normal 3"/>
    <tableColumn id="3" name="Helfpul Description" dataDxfId="4" dataCellStyle="Normal 3"/>
    <tableColumn id="2" name="Section Description" dataDxfId="3"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2" dataDxfId="1">
  <tableColumns count="1">
    <tableColumn id="1" name="Section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tabSelected="1" workbookViewId="0"/>
  </sheetViews>
  <sheetFormatPr defaultRowHeight="12.75" x14ac:dyDescent="0.2"/>
  <sheetData>
    <row r="3" spans="6:7" x14ac:dyDescent="0.2">
      <c r="F3" s="22" t="s">
        <v>331</v>
      </c>
    </row>
    <row r="4" spans="6:7" x14ac:dyDescent="0.2">
      <c r="G4" s="23" t="s">
        <v>332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5"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6"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80" r:id="rId7"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91"/>
  <sheetViews>
    <sheetView zoomScale="85" zoomScaleNormal="85" workbookViewId="0">
      <selection activeCell="G5" sqref="G5"/>
    </sheetView>
  </sheetViews>
  <sheetFormatPr defaultColWidth="8.85546875" defaultRowHeight="18.75" x14ac:dyDescent="0.3"/>
  <cols>
    <col min="1" max="1" width="26" bestFit="1" customWidth="1"/>
    <col min="2" max="2" width="10.5703125" style="6" customWidth="1"/>
    <col min="3" max="3" width="22.42578125" style="6" customWidth="1"/>
    <col min="4" max="4" width="16.5703125" style="6" hidden="1" customWidth="1"/>
    <col min="5" max="5" width="9.85546875" style="6" hidden="1" customWidth="1"/>
    <col min="6" max="6" width="38.7109375" style="6" hidden="1" customWidth="1"/>
    <col min="7" max="7" width="16" bestFit="1" customWidth="1"/>
    <col min="8" max="8" width="31.140625" style="7" customWidth="1"/>
    <col min="9" max="9" width="25.7109375" bestFit="1" customWidth="1"/>
    <col min="10" max="10" width="26.28515625" style="7" bestFit="1" customWidth="1"/>
    <col min="11" max="14" width="8.85546875" style="6"/>
    <col min="15" max="15" width="10.7109375" style="6" bestFit="1" customWidth="1"/>
    <col min="16" max="18" width="8.85546875" style="6"/>
    <col min="19" max="19" width="8" style="6" customWidth="1"/>
    <col min="20" max="16384" width="8.85546875" style="6"/>
  </cols>
  <sheetData>
    <row r="1" spans="1:10" ht="38.25" thickBot="1" x14ac:dyDescent="0.35">
      <c r="A1" s="10" t="s">
        <v>291</v>
      </c>
      <c r="B1" s="10" t="s">
        <v>295</v>
      </c>
      <c r="C1" s="10" t="s">
        <v>294</v>
      </c>
      <c r="D1" s="10" t="s">
        <v>303</v>
      </c>
      <c r="E1" s="10" t="s">
        <v>304</v>
      </c>
      <c r="F1" s="10" t="s">
        <v>286</v>
      </c>
      <c r="G1" s="10" t="s">
        <v>293</v>
      </c>
      <c r="H1" s="28" t="s">
        <v>302</v>
      </c>
      <c r="I1" s="2" t="s">
        <v>292</v>
      </c>
      <c r="J1" s="6"/>
    </row>
    <row r="2" spans="1:10" ht="20.25" thickTop="1" thickBot="1" x14ac:dyDescent="0.35">
      <c r="A2" s="8" t="s">
        <v>19</v>
      </c>
      <c r="B2" s="8" t="b">
        <f>ISNUMBER(IndexTbl[[#This Row],[Class]])</f>
        <v>1</v>
      </c>
      <c r="C2" s="8" t="str">
        <f>TRIM(IndexTbl[[#This Row],[Prefix]]&amp;IF(NOT(IndexTbl[[#This Row],[Dewey Number]])," "&amp;IndexTbl[[#This Row],[Class]],""))</f>
        <v/>
      </c>
      <c r="D2" s="9"/>
      <c r="E2" s="9">
        <v>999.99</v>
      </c>
      <c r="F2" s="9" t="s">
        <v>269</v>
      </c>
      <c r="G2" s="8"/>
      <c r="H2" s="8" t="s">
        <v>135</v>
      </c>
      <c r="I2" s="20" t="s">
        <v>336</v>
      </c>
      <c r="J2" s="6"/>
    </row>
    <row r="3" spans="1:10" ht="20.25" thickTop="1" thickBot="1" x14ac:dyDescent="0.35">
      <c r="A3" s="8" t="s">
        <v>47</v>
      </c>
      <c r="B3" s="8" t="b">
        <f>ISNUMBER(IndexTbl[[#This Row],[Class]])</f>
        <v>1</v>
      </c>
      <c r="C3" s="8" t="str">
        <f>TRIM(IndexTbl[[#This Row],[Prefix]]&amp;IF(NOT(IndexTbl[[#This Row],[Dewey Number]])," "&amp;IndexTbl[[#This Row],[Class]],""))</f>
        <v>J</v>
      </c>
      <c r="D3" s="9" t="s">
        <v>88</v>
      </c>
      <c r="E3" s="9">
        <v>999.99</v>
      </c>
      <c r="F3" s="9" t="s">
        <v>252</v>
      </c>
      <c r="G3" s="8"/>
      <c r="H3" s="8" t="s">
        <v>91</v>
      </c>
      <c r="I3" s="20" t="s">
        <v>335</v>
      </c>
      <c r="J3" s="6"/>
    </row>
    <row r="4" spans="1:10" ht="20.25" thickTop="1" thickBot="1" x14ac:dyDescent="0.3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
        <v>335</v>
      </c>
      <c r="J4" s="6"/>
    </row>
    <row r="5" spans="1:10" ht="20.25" thickTop="1" thickBot="1" x14ac:dyDescent="0.3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
        <v>336</v>
      </c>
      <c r="J5" s="6"/>
    </row>
    <row r="6" spans="1:10" ht="20.25" thickTop="1" thickBot="1" x14ac:dyDescent="0.35">
      <c r="A6" s="8" t="s">
        <v>20</v>
      </c>
      <c r="B6" s="8" t="b">
        <f>ISNUMBER(IndexTbl[[#This Row],[Class]])</f>
        <v>0</v>
      </c>
      <c r="C6" s="8" t="str">
        <f>TRIM(IndexTbl[[#This Row],[Prefix]]&amp;IF(NOT(IndexTbl[[#This Row],[Dewey Number]])," "&amp;IndexTbl[[#This Row],[Class]],""))</f>
        <v>BIO</v>
      </c>
      <c r="D6" s="9"/>
      <c r="E6" s="9" t="s">
        <v>59</v>
      </c>
      <c r="F6" s="9" t="s">
        <v>266</v>
      </c>
      <c r="G6" s="8"/>
      <c r="H6" s="8" t="s">
        <v>136</v>
      </c>
      <c r="I6" s="20" t="s">
        <v>335</v>
      </c>
      <c r="J6" s="6"/>
    </row>
    <row r="7" spans="1:10" ht="20.25" thickTop="1" thickBot="1" x14ac:dyDescent="0.3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
        <v>333</v>
      </c>
      <c r="J7" s="6"/>
    </row>
    <row r="8" spans="1:10" ht="20.25" thickTop="1" thickBot="1" x14ac:dyDescent="0.3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
        <v>335</v>
      </c>
      <c r="J8" s="6"/>
    </row>
    <row r="9" spans="1:10" ht="20.25" thickTop="1" thickBot="1" x14ac:dyDescent="0.3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
        <v>333</v>
      </c>
      <c r="J9" s="6"/>
    </row>
    <row r="10" spans="1:10" ht="20.25" thickTop="1" thickBot="1" x14ac:dyDescent="0.3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
        <v>336</v>
      </c>
      <c r="J10" s="6"/>
    </row>
    <row r="11" spans="1:10" ht="20.25" thickTop="1" thickBot="1" x14ac:dyDescent="0.3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
        <v>334</v>
      </c>
      <c r="J11" s="6"/>
    </row>
    <row r="12" spans="1:10" ht="20.25" thickTop="1" thickBot="1" x14ac:dyDescent="0.3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
        <v>333</v>
      </c>
      <c r="J12" s="6"/>
    </row>
    <row r="13" spans="1:10" ht="20.25" thickTop="1" thickBot="1" x14ac:dyDescent="0.3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
        <v>333</v>
      </c>
      <c r="J13" s="6"/>
    </row>
    <row r="14" spans="1:10" ht="20.25" thickTop="1" thickBot="1" x14ac:dyDescent="0.3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
        <v>335</v>
      </c>
      <c r="J14" s="6"/>
    </row>
    <row r="15" spans="1:10" ht="20.25" thickTop="1" thickBot="1" x14ac:dyDescent="0.3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
        <v>335</v>
      </c>
      <c r="J15" s="6"/>
    </row>
    <row r="16" spans="1:10" ht="20.25" thickTop="1" thickBot="1" x14ac:dyDescent="0.3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
        <v>334</v>
      </c>
      <c r="J16" s="6"/>
    </row>
    <row r="17" spans="1:10" ht="20.25" thickTop="1" thickBot="1" x14ac:dyDescent="0.3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
        <v>335</v>
      </c>
      <c r="J17" s="6"/>
    </row>
    <row r="18" spans="1:10" ht="20.25" thickTop="1" thickBot="1" x14ac:dyDescent="0.3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
        <v>336</v>
      </c>
      <c r="J18" s="6"/>
    </row>
    <row r="19" spans="1:10" ht="20.25" thickTop="1" thickBot="1" x14ac:dyDescent="0.3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
        <v>335</v>
      </c>
      <c r="J19" s="6"/>
    </row>
    <row r="20" spans="1:10" ht="20.25" thickTop="1" thickBot="1" x14ac:dyDescent="0.3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
        <v>336</v>
      </c>
      <c r="J20" s="6"/>
    </row>
    <row r="21" spans="1:10" ht="20.25" thickTop="1" thickBot="1" x14ac:dyDescent="0.3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
        <v>333</v>
      </c>
      <c r="J21" s="6"/>
    </row>
    <row r="22" spans="1:10" ht="20.25" thickTop="1" thickBot="1" x14ac:dyDescent="0.3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
        <v>334</v>
      </c>
      <c r="J22" s="6"/>
    </row>
    <row r="23" spans="1:10" ht="20.25" thickTop="1" thickBot="1" x14ac:dyDescent="0.3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
        <v>334</v>
      </c>
      <c r="J23" s="6"/>
    </row>
    <row r="24" spans="1:10" ht="20.25" thickTop="1" thickBot="1" x14ac:dyDescent="0.3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
        <v>335</v>
      </c>
      <c r="J24" s="6"/>
    </row>
    <row r="25" spans="1:10" ht="20.25" thickTop="1" thickBot="1" x14ac:dyDescent="0.3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
        <v>335</v>
      </c>
      <c r="J25" s="6"/>
    </row>
    <row r="26" spans="1:10" ht="20.25" thickTop="1" thickBot="1" x14ac:dyDescent="0.3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
        <v>336</v>
      </c>
      <c r="J26" s="6"/>
    </row>
    <row r="27" spans="1:10" ht="20.25" thickTop="1" thickBot="1" x14ac:dyDescent="0.3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
        <v>335</v>
      </c>
      <c r="J27" s="6"/>
    </row>
    <row r="28" spans="1:10" ht="20.25" thickTop="1" thickBot="1" x14ac:dyDescent="0.3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
        <v>333</v>
      </c>
      <c r="J28" s="6"/>
    </row>
    <row r="29" spans="1:10" ht="20.25" thickTop="1" thickBot="1" x14ac:dyDescent="0.3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
        <v>336</v>
      </c>
      <c r="J29" s="6"/>
    </row>
    <row r="30" spans="1:10" ht="20.25" thickTop="1" thickBot="1" x14ac:dyDescent="0.35">
      <c r="A30" s="8" t="s">
        <v>25</v>
      </c>
      <c r="B30" s="8" t="b">
        <f>ISNUMBER(IndexTbl[[#This Row],[Class]])</f>
        <v>0</v>
      </c>
      <c r="C30" s="8" t="str">
        <f>TRIM(IndexTbl[[#This Row],[Prefix]]&amp;IF(NOT(IndexTbl[[#This Row],[Dewey Number]])," "&amp;IndexTbl[[#This Row],[Class]],""))</f>
        <v>J</v>
      </c>
      <c r="D30" s="9" t="s">
        <v>88</v>
      </c>
      <c r="E30" s="9"/>
      <c r="F30" s="9" t="s">
        <v>258</v>
      </c>
      <c r="G30" s="8"/>
      <c r="H30" s="8" t="s">
        <v>87</v>
      </c>
      <c r="I30" s="20" t="s">
        <v>333</v>
      </c>
      <c r="J30" s="6"/>
    </row>
    <row r="31" spans="1:10" ht="20.25" thickTop="1" thickBot="1" x14ac:dyDescent="0.3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
        <v>333</v>
      </c>
      <c r="J31" s="6"/>
    </row>
    <row r="32" spans="1:10" ht="20.25" thickTop="1" thickBot="1" x14ac:dyDescent="0.3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
        <v>336</v>
      </c>
      <c r="J32" s="6"/>
    </row>
    <row r="33" spans="1:10" ht="20.25" thickTop="1" thickBot="1" x14ac:dyDescent="0.3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
        <v>334</v>
      </c>
      <c r="J33" s="6"/>
    </row>
    <row r="34" spans="1:10" ht="20.25" thickTop="1" thickBot="1" x14ac:dyDescent="0.3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
        <v>335</v>
      </c>
      <c r="J34" s="6"/>
    </row>
    <row r="35" spans="1:10" ht="20.25" thickTop="1" thickBot="1" x14ac:dyDescent="0.3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
        <v>335</v>
      </c>
      <c r="J35" s="6"/>
    </row>
    <row r="36" spans="1:10" ht="20.25" thickTop="1" thickBot="1" x14ac:dyDescent="0.3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
        <v>336</v>
      </c>
      <c r="J36" s="6"/>
    </row>
    <row r="37" spans="1:10" ht="20.25" thickTop="1" thickBot="1" x14ac:dyDescent="0.3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
        <v>335</v>
      </c>
      <c r="J37" s="6"/>
    </row>
    <row r="38" spans="1:10" ht="20.25" thickTop="1" thickBot="1" x14ac:dyDescent="0.35">
      <c r="A38" s="8" t="s">
        <v>28</v>
      </c>
      <c r="B38" s="8" t="b">
        <f>ISNUMBER(IndexTbl[[#This Row],[Class]])</f>
        <v>0</v>
      </c>
      <c r="C38" s="8" t="str">
        <f>TRIM(IndexTbl[[#This Row],[Prefix]]&amp;IF(NOT(IndexTbl[[#This Row],[Dewey Number]])," "&amp;IndexTbl[[#This Row],[Class]],""))</f>
        <v>E</v>
      </c>
      <c r="D38" s="9" t="s">
        <v>54</v>
      </c>
      <c r="E38" s="9"/>
      <c r="F38" s="9" t="s">
        <v>250</v>
      </c>
      <c r="G38" s="8"/>
      <c r="H38" s="8" t="s">
        <v>288</v>
      </c>
      <c r="I38" s="20" t="s">
        <v>333</v>
      </c>
      <c r="J38" s="6"/>
    </row>
    <row r="39" spans="1:10" ht="20.25" thickTop="1" thickBot="1" x14ac:dyDescent="0.3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
        <v>333</v>
      </c>
      <c r="J39" s="6"/>
    </row>
    <row r="40" spans="1:10" ht="20.25" thickTop="1" thickBot="1" x14ac:dyDescent="0.35">
      <c r="A40" s="8" t="s">
        <v>29</v>
      </c>
      <c r="B40" s="8" t="b">
        <f>ISNUMBER(IndexTbl[[#This Row],[Class]])</f>
        <v>0</v>
      </c>
      <c r="C40" s="8" t="str">
        <f>TRIM(IndexTbl[[#This Row],[Prefix]]&amp;IF(NOT(IndexTbl[[#This Row],[Dewey Number]])," "&amp;IndexTbl[[#This Row],[Class]],""))</f>
        <v>E</v>
      </c>
      <c r="D40" s="9" t="s">
        <v>54</v>
      </c>
      <c r="E40" s="9"/>
      <c r="F40" s="9" t="s">
        <v>250</v>
      </c>
      <c r="G40" s="8"/>
      <c r="H40" s="8" t="s">
        <v>249</v>
      </c>
      <c r="I40" s="20" t="s">
        <v>334</v>
      </c>
      <c r="J40" s="6"/>
    </row>
    <row r="41" spans="1:10" ht="20.25" thickTop="1" thickBot="1" x14ac:dyDescent="0.3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
        <v>334</v>
      </c>
      <c r="J41" s="6"/>
    </row>
    <row r="42" spans="1:10" ht="20.25" thickTop="1" thickBot="1" x14ac:dyDescent="0.3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
        <v>335</v>
      </c>
      <c r="J42" s="6"/>
    </row>
    <row r="43" spans="1:10" ht="20.25" thickTop="1" thickBot="1" x14ac:dyDescent="0.3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
        <v>336</v>
      </c>
      <c r="J43" s="6"/>
    </row>
    <row r="44" spans="1:10" ht="20.25" thickTop="1" thickBot="1" x14ac:dyDescent="0.3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
        <v>336</v>
      </c>
      <c r="J44" s="6"/>
    </row>
    <row r="45" spans="1:10" ht="20.25" thickTop="1" thickBot="1" x14ac:dyDescent="0.3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
        <v>336</v>
      </c>
      <c r="J45" s="6"/>
    </row>
    <row r="46" spans="1:10" ht="20.25" thickTop="1" thickBot="1" x14ac:dyDescent="0.3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
        <v>335</v>
      </c>
      <c r="J46" s="6"/>
    </row>
    <row r="47" spans="1:10" ht="20.25" thickTop="1" thickBot="1" x14ac:dyDescent="0.3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
        <v>334</v>
      </c>
      <c r="J47" s="6"/>
    </row>
    <row r="48" spans="1:10" ht="20.25" thickTop="1" thickBot="1" x14ac:dyDescent="0.3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
        <v>333</v>
      </c>
      <c r="J48" s="6"/>
    </row>
    <row r="49" spans="1:10" ht="20.25" thickTop="1" thickBot="1" x14ac:dyDescent="0.3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
        <v>333</v>
      </c>
      <c r="J49" s="6"/>
    </row>
    <row r="50" spans="1:10" ht="20.25" thickTop="1" thickBot="1" x14ac:dyDescent="0.3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
        <v>336</v>
      </c>
      <c r="J50" s="6"/>
    </row>
    <row r="51" spans="1:10" ht="20.25" thickTop="1" thickBot="1" x14ac:dyDescent="0.3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
        <v>333</v>
      </c>
      <c r="J51" s="6"/>
    </row>
    <row r="52" spans="1:10" ht="20.25" thickTop="1" thickBot="1" x14ac:dyDescent="0.3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
        <v>335</v>
      </c>
      <c r="J52" s="6"/>
    </row>
    <row r="53" spans="1:10" ht="20.25" thickTop="1" thickBot="1" x14ac:dyDescent="0.3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
        <v>335</v>
      </c>
      <c r="J53" s="6"/>
    </row>
    <row r="54" spans="1:10" ht="20.25" thickTop="1" thickBot="1" x14ac:dyDescent="0.3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
        <v>335</v>
      </c>
      <c r="J54" s="6"/>
    </row>
    <row r="55" spans="1:10" ht="20.25" thickTop="1" thickBot="1" x14ac:dyDescent="0.3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
        <v>333</v>
      </c>
      <c r="J55" s="6"/>
    </row>
    <row r="56" spans="1:10" ht="20.25" thickTop="1" thickBot="1" x14ac:dyDescent="0.3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
        <v>333</v>
      </c>
      <c r="J56" s="6"/>
    </row>
    <row r="57" spans="1:10" ht="20.25" thickTop="1" thickBot="1" x14ac:dyDescent="0.3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
        <v>335</v>
      </c>
      <c r="J57" s="6"/>
    </row>
    <row r="58" spans="1:10" ht="20.25" thickTop="1" thickBot="1" x14ac:dyDescent="0.3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
        <v>333</v>
      </c>
      <c r="J58" s="6"/>
    </row>
    <row r="59" spans="1:10" ht="20.25" thickTop="1" thickBot="1" x14ac:dyDescent="0.3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
        <v>335</v>
      </c>
      <c r="J59" s="6"/>
    </row>
    <row r="60" spans="1:10" ht="20.25" thickTop="1" thickBot="1" x14ac:dyDescent="0.3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
        <v>333</v>
      </c>
      <c r="J60" s="6"/>
    </row>
    <row r="61" spans="1:10" ht="20.25" thickTop="1" thickBot="1" x14ac:dyDescent="0.3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
        <v>335</v>
      </c>
      <c r="J61" s="6"/>
    </row>
    <row r="62" spans="1:10" ht="20.25" thickTop="1" thickBot="1" x14ac:dyDescent="0.3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
        <v>334</v>
      </c>
      <c r="J62" s="6"/>
    </row>
    <row r="63" spans="1:10" ht="20.25" thickTop="1" thickBot="1" x14ac:dyDescent="0.3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
        <v>334</v>
      </c>
      <c r="J63" s="6"/>
    </row>
    <row r="64" spans="1:10" ht="20.25" thickTop="1" thickBot="1" x14ac:dyDescent="0.3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
        <v>333</v>
      </c>
      <c r="J64" s="6"/>
    </row>
    <row r="65" spans="1:10" ht="20.25" thickTop="1" thickBot="1" x14ac:dyDescent="0.3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
        <v>336</v>
      </c>
      <c r="J65" s="6"/>
    </row>
    <row r="66" spans="1:10" ht="20.25" thickTop="1" thickBot="1" x14ac:dyDescent="0.3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
        <v>335</v>
      </c>
      <c r="J66" s="6"/>
    </row>
    <row r="67" spans="1:10" ht="20.25" thickTop="1" thickBot="1" x14ac:dyDescent="0.3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
        <v>333</v>
      </c>
      <c r="J67" s="6"/>
    </row>
    <row r="68" spans="1:10" ht="20.25" thickTop="1" thickBot="1" x14ac:dyDescent="0.3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
        <v>334</v>
      </c>
      <c r="J68" s="6"/>
    </row>
    <row r="69" spans="1:10" ht="20.25" thickTop="1" thickBot="1" x14ac:dyDescent="0.3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
        <v>335</v>
      </c>
      <c r="J69" s="6"/>
    </row>
    <row r="70" spans="1:10" ht="20.25" thickTop="1" thickBot="1" x14ac:dyDescent="0.3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
        <v>335</v>
      </c>
      <c r="J70" s="6"/>
    </row>
    <row r="71" spans="1:10" ht="20.25" thickTop="1" thickBot="1" x14ac:dyDescent="0.3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
        <v>333</v>
      </c>
      <c r="J71" s="6"/>
    </row>
    <row r="72" spans="1:10" ht="20.25" thickTop="1" thickBot="1" x14ac:dyDescent="0.3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
        <v>335</v>
      </c>
      <c r="J72" s="6"/>
    </row>
    <row r="73" spans="1:10" ht="20.25" thickTop="1" thickBot="1" x14ac:dyDescent="0.3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
        <v>333</v>
      </c>
      <c r="J73" s="6"/>
    </row>
    <row r="74" spans="1:10" ht="20.25" thickTop="1" thickBot="1" x14ac:dyDescent="0.3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
        <v>336</v>
      </c>
      <c r="J74" s="6"/>
    </row>
    <row r="75" spans="1:10" ht="20.25" thickTop="1" thickBot="1" x14ac:dyDescent="0.3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
        <v>334</v>
      </c>
      <c r="J75" s="6"/>
    </row>
    <row r="76" spans="1:10" ht="20.25" thickTop="1" thickBot="1" x14ac:dyDescent="0.3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
        <v>334</v>
      </c>
      <c r="J76" s="6"/>
    </row>
    <row r="77" spans="1:10" ht="20.25" thickTop="1" thickBot="1" x14ac:dyDescent="0.3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
        <v>336</v>
      </c>
      <c r="J77" s="6"/>
    </row>
    <row r="78" spans="1:10" ht="20.25" thickTop="1" thickBot="1" x14ac:dyDescent="0.3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
        <v>334</v>
      </c>
      <c r="J78" s="6"/>
    </row>
    <row r="79" spans="1:10" ht="20.25" thickTop="1" thickBot="1" x14ac:dyDescent="0.3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
        <v>333</v>
      </c>
      <c r="J79" s="6"/>
    </row>
    <row r="80" spans="1:10" ht="20.25" thickTop="1" thickBot="1" x14ac:dyDescent="0.3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
        <v>333</v>
      </c>
      <c r="J80" s="6"/>
    </row>
    <row r="81" spans="1:10" ht="20.25" thickTop="1" thickBot="1" x14ac:dyDescent="0.3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
        <v>335</v>
      </c>
      <c r="J81" s="6"/>
    </row>
    <row r="82" spans="1:10" ht="20.25" thickTop="1" thickBot="1" x14ac:dyDescent="0.3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
        <v>335</v>
      </c>
      <c r="J82" s="6"/>
    </row>
    <row r="83" spans="1:10" ht="20.25" thickTop="1" thickBot="1" x14ac:dyDescent="0.3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
        <v>336</v>
      </c>
      <c r="J83" s="6"/>
    </row>
    <row r="84" spans="1:10" ht="20.25" thickTop="1" thickBot="1" x14ac:dyDescent="0.3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
        <v>333</v>
      </c>
      <c r="J84" s="6"/>
    </row>
    <row r="85" spans="1:10" ht="20.25" thickTop="1" thickBot="1" x14ac:dyDescent="0.3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
        <v>334</v>
      </c>
      <c r="J85" s="6"/>
    </row>
    <row r="86" spans="1:10" ht="20.25" thickTop="1" thickBot="1" x14ac:dyDescent="0.3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
        <v>335</v>
      </c>
      <c r="J86" s="6"/>
    </row>
    <row r="87" spans="1:10" ht="20.25" thickTop="1" thickBot="1" x14ac:dyDescent="0.3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
        <v>334</v>
      </c>
      <c r="J87" s="6"/>
    </row>
    <row r="88" spans="1:10" ht="20.25" thickTop="1" thickBot="1" x14ac:dyDescent="0.3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
        <v>333</v>
      </c>
      <c r="J88" s="6"/>
    </row>
    <row r="89" spans="1:10" ht="20.25" thickTop="1" thickBot="1" x14ac:dyDescent="0.3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
        <v>334</v>
      </c>
      <c r="J89" s="6"/>
    </row>
    <row r="90" spans="1:10" ht="20.25" thickTop="1" thickBot="1" x14ac:dyDescent="0.3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
        <v>336</v>
      </c>
      <c r="J90" s="6"/>
    </row>
    <row r="91" spans="1:10" ht="20.25" thickTop="1" thickBot="1" x14ac:dyDescent="0.3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
        <v>333</v>
      </c>
      <c r="J91" s="6"/>
    </row>
    <row r="92" spans="1:10" ht="20.25" thickTop="1" thickBot="1" x14ac:dyDescent="0.3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
        <v>335</v>
      </c>
      <c r="J92" s="6"/>
    </row>
    <row r="93" spans="1:10" ht="20.25" thickTop="1" thickBot="1" x14ac:dyDescent="0.3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
        <v>333</v>
      </c>
      <c r="J93" s="6"/>
    </row>
    <row r="94" spans="1:10" ht="20.25" thickTop="1" thickBot="1" x14ac:dyDescent="0.3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
        <v>335</v>
      </c>
      <c r="J94" s="6"/>
    </row>
    <row r="95" spans="1:10" ht="20.25" thickTop="1" thickBot="1" x14ac:dyDescent="0.3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
        <v>335</v>
      </c>
      <c r="J95" s="6"/>
    </row>
    <row r="96" spans="1:10" ht="20.25" thickTop="1" thickBot="1" x14ac:dyDescent="0.3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
        <v>335</v>
      </c>
      <c r="J96" s="6"/>
    </row>
    <row r="97" spans="1:10" ht="20.25" thickTop="1" thickBot="1" x14ac:dyDescent="0.3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
        <v>335</v>
      </c>
      <c r="J97" s="6"/>
    </row>
    <row r="98" spans="1:10" ht="20.25" thickTop="1" thickBot="1" x14ac:dyDescent="0.3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
        <v>333</v>
      </c>
      <c r="J98" s="6"/>
    </row>
    <row r="99" spans="1:10" ht="20.25" thickTop="1" thickBot="1" x14ac:dyDescent="0.3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
        <v>336</v>
      </c>
      <c r="J99" s="6"/>
    </row>
    <row r="100" spans="1:10" ht="20.25" thickTop="1" thickBot="1" x14ac:dyDescent="0.3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
        <v>336</v>
      </c>
      <c r="J100" s="6"/>
    </row>
    <row r="101" spans="1:10" ht="20.25" thickTop="1" thickBot="1" x14ac:dyDescent="0.3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
        <v>334</v>
      </c>
      <c r="J101" s="6"/>
    </row>
    <row r="102" spans="1:10" ht="20.25" thickTop="1" thickBot="1" x14ac:dyDescent="0.3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
        <v>334</v>
      </c>
      <c r="J102" s="6"/>
    </row>
    <row r="103" spans="1:10" ht="20.25" thickTop="1" thickBot="1" x14ac:dyDescent="0.3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
        <v>336</v>
      </c>
      <c r="J103" s="6"/>
    </row>
    <row r="104" spans="1:10" ht="20.25" thickTop="1" thickBot="1" x14ac:dyDescent="0.3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
        <v>336</v>
      </c>
      <c r="J104" s="6"/>
    </row>
    <row r="105" spans="1:10" ht="20.25" thickTop="1" thickBot="1" x14ac:dyDescent="0.3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
        <v>334</v>
      </c>
      <c r="J105" s="6"/>
    </row>
    <row r="106" spans="1:10" ht="20.25" thickTop="1" thickBot="1" x14ac:dyDescent="0.3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
        <v>333</v>
      </c>
      <c r="J106" s="6"/>
    </row>
    <row r="107" spans="1:10" ht="20.25" thickTop="1" thickBot="1" x14ac:dyDescent="0.3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
        <v>334</v>
      </c>
      <c r="J107" s="6"/>
    </row>
    <row r="108" spans="1:10" ht="20.25" thickTop="1" thickBot="1" x14ac:dyDescent="0.3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
        <v>333</v>
      </c>
      <c r="J108" s="6"/>
    </row>
    <row r="109" spans="1:10" ht="20.25" thickTop="1" thickBot="1" x14ac:dyDescent="0.3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
        <v>335</v>
      </c>
      <c r="J109" s="6"/>
    </row>
    <row r="110" spans="1:10" ht="20.25" thickTop="1" thickBot="1" x14ac:dyDescent="0.3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
        <v>335</v>
      </c>
      <c r="J110" s="6"/>
    </row>
    <row r="111" spans="1:10" ht="20.25" thickTop="1" thickBot="1" x14ac:dyDescent="0.3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
        <v>334</v>
      </c>
      <c r="J111" s="6"/>
    </row>
    <row r="112" spans="1:10" ht="20.25" thickTop="1" thickBot="1" x14ac:dyDescent="0.3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
        <v>335</v>
      </c>
      <c r="J112" s="6"/>
    </row>
    <row r="113" spans="1:10" ht="20.25" thickTop="1" thickBot="1" x14ac:dyDescent="0.3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
        <v>336</v>
      </c>
      <c r="J113" s="6"/>
    </row>
    <row r="114" spans="1:10" ht="20.25" thickTop="1" thickBot="1" x14ac:dyDescent="0.3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
        <v>333</v>
      </c>
      <c r="J114" s="6"/>
    </row>
    <row r="115" spans="1:10" ht="20.25" thickTop="1" thickBot="1" x14ac:dyDescent="0.3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
        <v>333</v>
      </c>
      <c r="J115" s="6"/>
    </row>
    <row r="116" spans="1:10" ht="20.25" thickTop="1" thickBot="1" x14ac:dyDescent="0.3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
        <v>333</v>
      </c>
      <c r="J116" s="6"/>
    </row>
    <row r="117" spans="1:10" ht="20.25" thickTop="1" thickBot="1" x14ac:dyDescent="0.3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
        <v>336</v>
      </c>
      <c r="J117" s="6"/>
    </row>
    <row r="118" spans="1:10" ht="33.75" thickTop="1" thickBot="1" x14ac:dyDescent="0.3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
        <v>333</v>
      </c>
      <c r="J118" s="6"/>
    </row>
    <row r="119" spans="1:10" ht="33.75" thickTop="1" thickBot="1" x14ac:dyDescent="0.3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
        <v>334</v>
      </c>
      <c r="J119" s="6"/>
    </row>
    <row r="120" spans="1:10" ht="20.25" thickTop="1" thickBot="1" x14ac:dyDescent="0.3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
        <v>336</v>
      </c>
      <c r="J120" s="6"/>
    </row>
    <row r="121" spans="1:10" ht="20.25" thickTop="1" thickBot="1" x14ac:dyDescent="0.3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
        <v>336</v>
      </c>
      <c r="J121" s="6"/>
    </row>
    <row r="122" spans="1:10" ht="20.25" thickTop="1" thickBot="1" x14ac:dyDescent="0.3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
        <v>336</v>
      </c>
      <c r="J122" s="6"/>
    </row>
    <row r="123" spans="1:10" ht="20.25" thickTop="1" thickBot="1" x14ac:dyDescent="0.3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
        <v>336</v>
      </c>
      <c r="J123" s="6"/>
    </row>
    <row r="124" spans="1:10" ht="20.25" thickTop="1" thickBot="1" x14ac:dyDescent="0.3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
        <v>333</v>
      </c>
      <c r="J124" s="6"/>
    </row>
    <row r="125" spans="1:10" ht="20.25" thickTop="1" thickBot="1" x14ac:dyDescent="0.3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
        <v>335</v>
      </c>
      <c r="J125" s="6"/>
    </row>
    <row r="126" spans="1:10" ht="20.25" thickTop="1" thickBot="1" x14ac:dyDescent="0.3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
        <v>334</v>
      </c>
      <c r="J126" s="6"/>
    </row>
    <row r="127" spans="1:10" ht="20.25" thickTop="1" thickBot="1" x14ac:dyDescent="0.3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
        <v>334</v>
      </c>
      <c r="J127" s="6"/>
    </row>
    <row r="128" spans="1:10" ht="20.25" thickTop="1" thickBot="1" x14ac:dyDescent="0.3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
        <v>336</v>
      </c>
      <c r="J128" s="6"/>
    </row>
    <row r="129" spans="1:10" ht="20.25" thickTop="1" thickBot="1" x14ac:dyDescent="0.3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
        <v>333</v>
      </c>
      <c r="J129" s="6"/>
    </row>
    <row r="130" spans="1:10" ht="20.25" thickTop="1" thickBot="1" x14ac:dyDescent="0.3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
        <v>333</v>
      </c>
      <c r="J130" s="6"/>
    </row>
    <row r="131" spans="1:10" ht="20.25" thickTop="1" thickBot="1" x14ac:dyDescent="0.3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
        <v>336</v>
      </c>
      <c r="J131" s="6"/>
    </row>
    <row r="132" spans="1:10" ht="20.25" thickTop="1" thickBot="1" x14ac:dyDescent="0.3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
        <v>336</v>
      </c>
      <c r="J132" s="6"/>
    </row>
    <row r="133" spans="1:10" ht="20.25" thickTop="1" thickBot="1" x14ac:dyDescent="0.3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
        <v>334</v>
      </c>
      <c r="J133" s="6"/>
    </row>
    <row r="134" spans="1:10" ht="20.25" thickTop="1" thickBot="1" x14ac:dyDescent="0.3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
        <v>336</v>
      </c>
      <c r="J134" s="6"/>
    </row>
    <row r="135" spans="1:10" ht="20.25" thickTop="1" thickBot="1" x14ac:dyDescent="0.3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
        <v>336</v>
      </c>
      <c r="J135" s="6"/>
    </row>
    <row r="136" spans="1:10" ht="20.25" thickTop="1" thickBot="1" x14ac:dyDescent="0.3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
        <v>333</v>
      </c>
      <c r="J136" s="6"/>
    </row>
    <row r="137" spans="1:10" ht="20.25" thickTop="1" thickBot="1" x14ac:dyDescent="0.3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
        <v>335</v>
      </c>
      <c r="J137" s="6"/>
    </row>
    <row r="138" spans="1:10" ht="20.25" thickTop="1" thickBot="1" x14ac:dyDescent="0.3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
        <v>333</v>
      </c>
      <c r="J138" s="6"/>
    </row>
    <row r="139" spans="1:10" ht="20.25" thickTop="1" thickBot="1" x14ac:dyDescent="0.3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
        <v>336</v>
      </c>
      <c r="J139" s="6"/>
    </row>
    <row r="140" spans="1:10" ht="20.25" thickTop="1" thickBot="1" x14ac:dyDescent="0.3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
        <v>333</v>
      </c>
      <c r="J140" s="6"/>
    </row>
    <row r="141" spans="1:10" ht="20.25" thickTop="1" thickBot="1" x14ac:dyDescent="0.3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
        <v>334</v>
      </c>
      <c r="J141" s="6"/>
    </row>
    <row r="142" spans="1:10" ht="20.25" thickTop="1" thickBot="1" x14ac:dyDescent="0.3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
        <v>334</v>
      </c>
      <c r="J142" s="6"/>
    </row>
    <row r="143" spans="1:10" ht="20.25" thickTop="1" thickBot="1" x14ac:dyDescent="0.3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
        <v>335</v>
      </c>
      <c r="J143" s="6"/>
    </row>
    <row r="144" spans="1:10" ht="20.25" thickTop="1" thickBot="1" x14ac:dyDescent="0.3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
        <v>336</v>
      </c>
      <c r="J144" s="6"/>
    </row>
    <row r="145" spans="1:10" ht="20.25" thickTop="1" thickBot="1" x14ac:dyDescent="0.3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
        <v>334</v>
      </c>
      <c r="J145" s="6"/>
    </row>
    <row r="146" spans="1:10" ht="20.25" thickTop="1" thickBot="1" x14ac:dyDescent="0.3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
        <v>334</v>
      </c>
      <c r="J146" s="6"/>
    </row>
    <row r="147" spans="1:10" ht="20.25" thickTop="1" thickBot="1" x14ac:dyDescent="0.3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
        <v>336</v>
      </c>
      <c r="J147" s="6"/>
    </row>
    <row r="148" spans="1:10" ht="20.25" thickTop="1" thickBot="1" x14ac:dyDescent="0.3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
        <v>333</v>
      </c>
      <c r="J148" s="6"/>
    </row>
    <row r="149" spans="1:10" ht="20.25" thickTop="1" thickBot="1" x14ac:dyDescent="0.3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
        <v>336</v>
      </c>
      <c r="J149" s="6"/>
    </row>
    <row r="150" spans="1:10" ht="20.25" thickTop="1" thickBot="1" x14ac:dyDescent="0.3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
        <v>334</v>
      </c>
      <c r="J150" s="6"/>
    </row>
    <row r="151" spans="1:10" ht="20.25" thickTop="1" thickBot="1" x14ac:dyDescent="0.3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
        <v>336</v>
      </c>
      <c r="J151" s="6"/>
    </row>
    <row r="152" spans="1:10" ht="20.25" thickTop="1" thickBot="1" x14ac:dyDescent="0.3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
        <v>336</v>
      </c>
      <c r="J152" s="6"/>
    </row>
    <row r="153" spans="1:10" ht="20.25" thickTop="1" thickBot="1" x14ac:dyDescent="0.3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
        <v>335</v>
      </c>
      <c r="J153" s="6"/>
    </row>
    <row r="154" spans="1:10" ht="20.25" thickTop="1" thickBot="1" x14ac:dyDescent="0.3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
        <v>335</v>
      </c>
      <c r="J154" s="6"/>
    </row>
    <row r="155" spans="1:10" ht="20.25" thickTop="1" thickBot="1" x14ac:dyDescent="0.3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
        <v>334</v>
      </c>
      <c r="J155" s="6"/>
    </row>
    <row r="156" spans="1:10" ht="20.25" thickTop="1" thickBot="1" x14ac:dyDescent="0.3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
        <v>333</v>
      </c>
      <c r="J156" s="6"/>
    </row>
    <row r="157" spans="1:10" ht="20.25" thickTop="1" thickBot="1" x14ac:dyDescent="0.3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
        <v>335</v>
      </c>
      <c r="J157" s="6"/>
    </row>
    <row r="158" spans="1:10" ht="20.25" thickTop="1" thickBot="1" x14ac:dyDescent="0.3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
        <v>335</v>
      </c>
      <c r="J158" s="6"/>
    </row>
    <row r="159" spans="1:10" ht="20.25" thickTop="1" thickBot="1" x14ac:dyDescent="0.3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
        <v>336</v>
      </c>
      <c r="J159" s="6"/>
    </row>
    <row r="160" spans="1:10" ht="20.25" thickTop="1" thickBot="1" x14ac:dyDescent="0.3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
        <v>334</v>
      </c>
      <c r="J160" s="6"/>
    </row>
    <row r="161" spans="1:10" ht="20.25" thickTop="1" thickBot="1" x14ac:dyDescent="0.3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
        <v>333</v>
      </c>
      <c r="J161" s="6"/>
    </row>
    <row r="162" spans="1:10" ht="20.25" thickTop="1" thickBot="1" x14ac:dyDescent="0.3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
        <v>336</v>
      </c>
      <c r="J162" s="6"/>
    </row>
    <row r="163" spans="1:10" ht="20.25" thickTop="1" thickBot="1" x14ac:dyDescent="0.3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
        <v>333</v>
      </c>
      <c r="J163" s="6"/>
    </row>
    <row r="164" spans="1:10" ht="20.25" thickTop="1" thickBot="1" x14ac:dyDescent="0.3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
        <v>334</v>
      </c>
      <c r="J164" s="6"/>
    </row>
    <row r="165" spans="1:10" ht="20.25" thickTop="1" thickBot="1" x14ac:dyDescent="0.3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
        <v>333</v>
      </c>
      <c r="J165" s="6"/>
    </row>
    <row r="166" spans="1:10" ht="20.25" thickTop="1" thickBot="1" x14ac:dyDescent="0.3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
        <v>335</v>
      </c>
      <c r="J166" s="6"/>
    </row>
    <row r="167" spans="1:10" ht="20.25" thickTop="1" thickBot="1" x14ac:dyDescent="0.3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
        <v>333</v>
      </c>
      <c r="J167" s="6"/>
    </row>
    <row r="168" spans="1:10" ht="20.25" thickTop="1" thickBot="1" x14ac:dyDescent="0.3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
        <v>333</v>
      </c>
      <c r="J168" s="6"/>
    </row>
    <row r="169" spans="1:10" ht="20.25" thickTop="1" thickBot="1" x14ac:dyDescent="0.35">
      <c r="A169" s="1" t="s">
        <v>46</v>
      </c>
      <c r="B169" s="3" t="b">
        <f>ISNUMBER(IndexTbl[[#This Row],[Class]])</f>
        <v>0</v>
      </c>
      <c r="C169" s="8" t="str">
        <f>TRIM(IndexTbl[[#This Row],[Prefix]]&amp;IF(NOT(IndexTbl[[#This Row],[Dewey Number]])," "&amp;IndexTbl[[#This Row],[Class]],""))</f>
        <v/>
      </c>
      <c r="D169" s="4"/>
      <c r="E169" s="4"/>
      <c r="F169" s="4" t="s">
        <v>251</v>
      </c>
      <c r="G169" s="1"/>
      <c r="H169" s="1" t="s">
        <v>46</v>
      </c>
      <c r="I169" s="20" t="s">
        <v>336</v>
      </c>
      <c r="J169"/>
    </row>
    <row r="170" spans="1:10" ht="20.25" thickTop="1" thickBot="1" x14ac:dyDescent="0.35">
      <c r="A170" s="8" t="s">
        <v>307</v>
      </c>
      <c r="B170" s="8" t="b">
        <f>ISNUMBER(IndexTbl[[#This Row],[Class]])</f>
        <v>0</v>
      </c>
      <c r="C170" s="8" t="str">
        <f>TRIM(IndexTbl[[#This Row],[Prefix]]&amp;IF(NOT(IndexTbl[[#This Row],[Dewey Number]])," "&amp;IndexTbl[[#This Row],[Class]],""))</f>
        <v/>
      </c>
      <c r="D170" s="9"/>
      <c r="E170" s="9"/>
      <c r="F170" s="4" t="s">
        <v>251</v>
      </c>
      <c r="G170" s="1"/>
      <c r="H170" s="1" t="s">
        <v>330</v>
      </c>
      <c r="I170" s="20" t="s">
        <v>334</v>
      </c>
      <c r="J170"/>
    </row>
    <row r="171" spans="1:10" ht="20.25" thickTop="1" thickBot="1" x14ac:dyDescent="0.35">
      <c r="A171" s="3" t="s">
        <v>37</v>
      </c>
      <c r="B171" s="3" t="b">
        <f>ISNUMBER(IndexTbl[[#This Row],[Class]])</f>
        <v>0</v>
      </c>
      <c r="C171" s="8" t="str">
        <f>TRIM(IndexTbl[[#This Row],[Prefix]]&amp;IF(NOT(IndexTbl[[#This Row],[Dewey Number]])," "&amp;IndexTbl[[#This Row],[Class]],""))</f>
        <v/>
      </c>
      <c r="D171" s="4"/>
      <c r="E171" s="4"/>
      <c r="F171" s="4" t="s">
        <v>251</v>
      </c>
      <c r="G171" s="3"/>
      <c r="H171" s="3" t="s">
        <v>37</v>
      </c>
      <c r="I171" s="20" t="s">
        <v>336</v>
      </c>
      <c r="J171"/>
    </row>
    <row r="172" spans="1:10" ht="20.25" thickTop="1" thickBot="1" x14ac:dyDescent="0.3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
        <v>336</v>
      </c>
      <c r="J172"/>
    </row>
    <row r="173" spans="1:10" ht="20.25" thickTop="1" thickBot="1" x14ac:dyDescent="0.3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
        <v>334</v>
      </c>
      <c r="J173"/>
    </row>
    <row r="174" spans="1:10" ht="20.25" thickTop="1" thickBot="1" x14ac:dyDescent="0.3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
        <v>334</v>
      </c>
      <c r="J174"/>
    </row>
    <row r="175" spans="1:10" ht="20.25" thickTop="1" thickBot="1" x14ac:dyDescent="0.3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
        <v>335</v>
      </c>
      <c r="J175"/>
    </row>
    <row r="176" spans="1:10" ht="20.25" thickTop="1" thickBot="1" x14ac:dyDescent="0.3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
        <v>336</v>
      </c>
      <c r="J176"/>
    </row>
    <row r="177" spans="1:10" ht="20.25" thickTop="1" thickBot="1" x14ac:dyDescent="0.3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
        <v>335</v>
      </c>
      <c r="J177"/>
    </row>
    <row r="178" spans="1:10" ht="20.25" thickTop="1" thickBot="1" x14ac:dyDescent="0.3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
        <v>334</v>
      </c>
      <c r="J178"/>
    </row>
    <row r="179" spans="1:10" ht="20.25" thickTop="1" thickBot="1" x14ac:dyDescent="0.3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
        <v>334</v>
      </c>
      <c r="J179"/>
    </row>
    <row r="180" spans="1:10" ht="20.25" thickTop="1" thickBot="1" x14ac:dyDescent="0.3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
        <v>335</v>
      </c>
      <c r="J180"/>
    </row>
    <row r="181" spans="1:10" ht="20.25" thickTop="1" thickBot="1" x14ac:dyDescent="0.3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
        <v>333</v>
      </c>
      <c r="J181"/>
    </row>
    <row r="182" spans="1:10" ht="20.25" thickTop="1" thickBot="1" x14ac:dyDescent="0.3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
        <v>336</v>
      </c>
      <c r="J182"/>
    </row>
    <row r="183" spans="1:10" ht="20.25" thickTop="1" thickBot="1" x14ac:dyDescent="0.3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20.25" thickTop="1" thickBot="1" x14ac:dyDescent="0.3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20.25" thickTop="1" thickBot="1" x14ac:dyDescent="0.3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20.25" thickTop="1" thickBot="1" x14ac:dyDescent="0.3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20.25" thickTop="1" thickBot="1" x14ac:dyDescent="0.3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20.25" thickTop="1" thickBot="1" x14ac:dyDescent="0.3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20.25" thickTop="1" thickBot="1" x14ac:dyDescent="0.35">
      <c r="A189" s="3"/>
      <c r="B189" s="3" t="b">
        <f>ISNUMBER(IndexTbl[[#This Row],[Class]])</f>
        <v>0</v>
      </c>
      <c r="C189" s="8" t="str">
        <f>TRIM(IndexTbl[[#This Row],[Prefix]]&amp;IF(NOT(IndexTbl[[#This Row],[Dewey Number]])," "&amp;IndexTbl[[#This Row],[Class]],""))</f>
        <v>TPBK</v>
      </c>
      <c r="D189" s="4" t="s">
        <v>248</v>
      </c>
      <c r="E189" s="4"/>
      <c r="F189" s="4" t="s">
        <v>251</v>
      </c>
      <c r="G189" s="1"/>
      <c r="H189" s="1" t="s">
        <v>247</v>
      </c>
      <c r="I189" s="27" t="s">
        <v>287</v>
      </c>
      <c r="J189"/>
    </row>
    <row r="190" spans="1:10" ht="20.25" thickTop="1" thickBot="1" x14ac:dyDescent="0.3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5" thickTop="1" x14ac:dyDescent="0.3">
      <c r="A191" s="3" t="s">
        <v>337</v>
      </c>
      <c r="B191" s="25" t="b">
        <f>ISNUMBER(IndexTbl[[#This Row],[Class]])</f>
        <v>0</v>
      </c>
      <c r="C191" s="25" t="str">
        <f>TRIM(IndexTbl[[#This Row],[Prefix]]&amp;IF(NOT(IndexTbl[[#This Row],[Dewey Number]])," "&amp;IndexTbl[[#This Row],[Class]],""))</f>
        <v/>
      </c>
      <c r="D191" s="4"/>
      <c r="E191" s="4"/>
      <c r="F191" s="4"/>
      <c r="G191" s="3"/>
      <c r="H191" s="4"/>
      <c r="I191" s="26" t="s">
        <v>287</v>
      </c>
      <c r="J191"/>
    </row>
  </sheetData>
  <dataValidations count="2">
    <dataValidation type="list" allowBlank="1" showInputMessage="1" showErrorMessage="1" sqref="I2:I191">
      <formula1>INDIRECT("SectionsTbl[Section Description]")</formula1>
    </dataValidation>
    <dataValidation type="list" allowBlank="1" showInputMessage="1" showErrorMessage="1" sqref="G2:G191">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390525</xdr:colOff>
                    <xdr:row>0</xdr:row>
                    <xdr:rowOff>457200</xdr:rowOff>
                  </from>
                  <to>
                    <xdr:col>10</xdr:col>
                    <xdr:colOff>266700</xdr:colOff>
                    <xdr:row>7</xdr:row>
                    <xdr:rowOff>257175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election activeCell="A6" sqref="A6"/>
    </sheetView>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292</v>
      </c>
      <c r="B1" s="13"/>
      <c r="F1" s="16"/>
      <c r="H1" s="13"/>
    </row>
    <row r="2" spans="1:8" x14ac:dyDescent="0.25">
      <c r="A2" s="24" t="s">
        <v>333</v>
      </c>
      <c r="B2" s="13"/>
      <c r="F2" s="16"/>
      <c r="G2" s="18"/>
      <c r="H2" s="13"/>
    </row>
    <row r="3" spans="1:8" x14ac:dyDescent="0.25">
      <c r="A3" s="24" t="s">
        <v>334</v>
      </c>
      <c r="B3" s="13"/>
      <c r="F3" s="16"/>
      <c r="G3" s="18"/>
      <c r="H3" s="13"/>
    </row>
    <row r="4" spans="1:8" x14ac:dyDescent="0.25">
      <c r="A4" s="24" t="s">
        <v>335</v>
      </c>
      <c r="B4" s="13"/>
      <c r="F4" s="16"/>
      <c r="G4" s="17"/>
      <c r="H4" s="13"/>
    </row>
    <row r="5" spans="1:8" x14ac:dyDescent="0.25">
      <c r="A5" s="24" t="s">
        <v>336</v>
      </c>
      <c r="B5" s="13"/>
      <c r="F5" s="16"/>
      <c r="H5" s="13"/>
    </row>
    <row r="6" spans="1:8" x14ac:dyDescent="0.25">
      <c r="A6" s="11" t="s">
        <v>287</v>
      </c>
      <c r="B6" s="13"/>
      <c r="F6" s="16"/>
      <c r="H6" s="13"/>
    </row>
    <row r="7" spans="1:8" x14ac:dyDescent="0.25">
      <c r="A7" s="19" t="s">
        <v>301</v>
      </c>
      <c r="B7" s="13"/>
      <c r="F7" s="16"/>
      <c r="H7" s="13"/>
    </row>
    <row r="8" spans="1:8" x14ac:dyDescent="0.25">
      <c r="B8" s="13"/>
      <c r="F8" s="16"/>
      <c r="H8" s="13"/>
    </row>
    <row r="9" spans="1:8" x14ac:dyDescent="0.25">
      <c r="B9" s="13"/>
      <c r="F9" s="16"/>
      <c r="H9" s="13"/>
    </row>
    <row r="10" spans="1:8" x14ac:dyDescent="0.25">
      <c r="B10" s="13"/>
      <c r="F10" s="16"/>
      <c r="H10" s="13"/>
    </row>
    <row r="11" spans="1:8" x14ac:dyDescent="0.25">
      <c r="B11" s="13"/>
      <c r="F11" s="16"/>
      <c r="H11" s="13"/>
    </row>
    <row r="12" spans="1:8" x14ac:dyDescent="0.25">
      <c r="B12" s="13"/>
      <c r="F12" s="16"/>
      <c r="H12" s="13"/>
    </row>
    <row r="13" spans="1:8" x14ac:dyDescent="0.25">
      <c r="B13" s="13"/>
      <c r="F13" s="16"/>
      <c r="H13" s="13"/>
    </row>
    <row r="14" spans="1:8" x14ac:dyDescent="0.25">
      <c r="B14" s="13"/>
      <c r="F14" s="16"/>
      <c r="H14" s="13"/>
    </row>
    <row r="15" spans="1:8" x14ac:dyDescent="0.25">
      <c r="B15" s="13"/>
      <c r="F15" s="16"/>
      <c r="H15" s="13"/>
    </row>
    <row r="16" spans="1:8" x14ac:dyDescent="0.25">
      <c r="B16" s="13"/>
      <c r="F16" s="16"/>
      <c r="H16" s="13"/>
    </row>
    <row r="17" spans="2:8" x14ac:dyDescent="0.25">
      <c r="B17" s="13"/>
      <c r="F17" s="16"/>
      <c r="H17" s="13"/>
    </row>
    <row r="18" spans="2:8" x14ac:dyDescent="0.25">
      <c r="B18" s="13"/>
      <c r="F18" s="16"/>
      <c r="H18" s="13"/>
    </row>
    <row r="19" spans="2:8" x14ac:dyDescent="0.25">
      <c r="B19" s="13"/>
      <c r="F19" s="16"/>
      <c r="H19" s="13"/>
    </row>
    <row r="20" spans="2:8" x14ac:dyDescent="0.25">
      <c r="B20" s="13"/>
      <c r="F20" s="16"/>
      <c r="H20" s="13"/>
    </row>
    <row r="21" spans="2:8" x14ac:dyDescent="0.25">
      <c r="B21" s="13"/>
      <c r="F21" s="16"/>
      <c r="H21" s="13"/>
    </row>
    <row r="22" spans="2:8" x14ac:dyDescent="0.25">
      <c r="B22" s="13"/>
      <c r="F22" s="16"/>
      <c r="H22" s="13"/>
    </row>
    <row r="23" spans="2:8" x14ac:dyDescent="0.25">
      <c r="B23" s="13"/>
      <c r="F23" s="16"/>
      <c r="H23" s="13"/>
    </row>
    <row r="24" spans="2:8" x14ac:dyDescent="0.25">
      <c r="B24" s="13"/>
      <c r="F24" s="16"/>
      <c r="H24" s="13"/>
    </row>
    <row r="25" spans="2:8" x14ac:dyDescent="0.25">
      <c r="B25" s="13"/>
      <c r="F25" s="16"/>
      <c r="H25" s="13"/>
    </row>
    <row r="26" spans="2:8" x14ac:dyDescent="0.25">
      <c r="B26" s="13"/>
      <c r="F26" s="16"/>
      <c r="H26" s="13"/>
    </row>
    <row r="27" spans="2:8" x14ac:dyDescent="0.25">
      <c r="B27" s="13"/>
      <c r="F27" s="16"/>
      <c r="H27" s="13"/>
    </row>
    <row r="28" spans="2:8" x14ac:dyDescent="0.25">
      <c r="B28" s="13"/>
      <c r="F28" s="16"/>
      <c r="H28" s="13"/>
    </row>
    <row r="29" spans="2:8" x14ac:dyDescent="0.25">
      <c r="B29" s="13"/>
      <c r="F29" s="16"/>
      <c r="H29" s="13"/>
    </row>
    <row r="30" spans="2:8" x14ac:dyDescent="0.25">
      <c r="B30" s="13"/>
      <c r="F30" s="16"/>
      <c r="H30" s="13"/>
    </row>
    <row r="31" spans="2:8" x14ac:dyDescent="0.25">
      <c r="B31" s="13"/>
      <c r="F31" s="16"/>
      <c r="H31" s="13"/>
    </row>
    <row r="32" spans="2:8" x14ac:dyDescent="0.25">
      <c r="B32" s="13"/>
      <c r="F32" s="16"/>
      <c r="H32" s="13"/>
    </row>
    <row r="33" spans="2:8" x14ac:dyDescent="0.25">
      <c r="B33" s="13"/>
      <c r="F33" s="16"/>
      <c r="H33" s="13"/>
    </row>
    <row r="34" spans="2:8" x14ac:dyDescent="0.25">
      <c r="B34" s="13"/>
      <c r="F34" s="16"/>
      <c r="H34" s="13"/>
    </row>
    <row r="35" spans="2:8" x14ac:dyDescent="0.25">
      <c r="B35" s="13"/>
      <c r="F35" s="16"/>
      <c r="H35" s="13"/>
    </row>
    <row r="36" spans="2:8" x14ac:dyDescent="0.25">
      <c r="B36" s="13"/>
      <c r="F36" s="16"/>
      <c r="H36" s="13"/>
    </row>
    <row r="37" spans="2:8" x14ac:dyDescent="0.25">
      <c r="B37" s="13"/>
      <c r="F37" s="16"/>
      <c r="H37" s="13"/>
    </row>
    <row r="38" spans="2:8" x14ac:dyDescent="0.25">
      <c r="B38" s="13"/>
      <c r="F38" s="16"/>
      <c r="H38" s="13"/>
    </row>
    <row r="39" spans="2:8" x14ac:dyDescent="0.25">
      <c r="B39" s="13"/>
      <c r="F39" s="16"/>
      <c r="H39" s="13"/>
    </row>
    <row r="40" spans="2:8" x14ac:dyDescent="0.25">
      <c r="B40" s="13"/>
      <c r="F40" s="16"/>
      <c r="H40" s="13"/>
    </row>
    <row r="41" spans="2:8" x14ac:dyDescent="0.25">
      <c r="B41" s="13"/>
      <c r="F41" s="16"/>
      <c r="H41" s="13"/>
    </row>
    <row r="42" spans="2:8" x14ac:dyDescent="0.25">
      <c r="B42" s="13"/>
      <c r="F42" s="16"/>
      <c r="H42" s="13"/>
    </row>
    <row r="43" spans="2:8" x14ac:dyDescent="0.25">
      <c r="B43" s="13"/>
      <c r="F43" s="16"/>
      <c r="H43" s="13"/>
    </row>
    <row r="44" spans="2:8" x14ac:dyDescent="0.25">
      <c r="B44" s="13"/>
      <c r="F44" s="16"/>
      <c r="H44" s="13"/>
    </row>
    <row r="45" spans="2:8" x14ac:dyDescent="0.25">
      <c r="B45" s="13"/>
      <c r="F45" s="16"/>
      <c r="H45" s="13"/>
    </row>
    <row r="46" spans="2:8" x14ac:dyDescent="0.25">
      <c r="B46" s="13"/>
      <c r="F46" s="16"/>
      <c r="H46" s="13"/>
    </row>
    <row r="47" spans="2:8" x14ac:dyDescent="0.25">
      <c r="B47" s="13"/>
      <c r="F47" s="16"/>
      <c r="H47" s="13"/>
    </row>
    <row r="48" spans="2:8" x14ac:dyDescent="0.25">
      <c r="B48" s="13"/>
      <c r="F48" s="16"/>
      <c r="H48" s="13"/>
    </row>
    <row r="49" spans="2:8" x14ac:dyDescent="0.25">
      <c r="B49" s="13"/>
      <c r="F49" s="16"/>
      <c r="H49" s="13"/>
    </row>
    <row r="50" spans="2:8" x14ac:dyDescent="0.25">
      <c r="B50" s="13"/>
      <c r="F50" s="16"/>
      <c r="H50" s="13"/>
    </row>
    <row r="51" spans="2:8" x14ac:dyDescent="0.25">
      <c r="B51" s="13"/>
      <c r="F51" s="16"/>
      <c r="H51" s="13"/>
    </row>
    <row r="52" spans="2:8" x14ac:dyDescent="0.25">
      <c r="B52" s="13"/>
      <c r="F52" s="16"/>
      <c r="H52" s="13"/>
    </row>
    <row r="53" spans="2:8" x14ac:dyDescent="0.25">
      <c r="B53" s="13"/>
      <c r="F53" s="16"/>
      <c r="H53" s="13"/>
    </row>
    <row r="54" spans="2:8" x14ac:dyDescent="0.25">
      <c r="B54" s="13"/>
      <c r="F54" s="16"/>
      <c r="H54" s="13"/>
    </row>
    <row r="55" spans="2:8" x14ac:dyDescent="0.25">
      <c r="B55" s="13"/>
      <c r="F55" s="16"/>
      <c r="H55" s="13"/>
    </row>
    <row r="56" spans="2:8" x14ac:dyDescent="0.25">
      <c r="B56" s="13"/>
      <c r="F56" s="16"/>
      <c r="H56" s="13"/>
    </row>
    <row r="57" spans="2:8" x14ac:dyDescent="0.25">
      <c r="B57" s="13"/>
      <c r="F57" s="16"/>
      <c r="H57" s="13"/>
    </row>
    <row r="58" spans="2:8" x14ac:dyDescent="0.25">
      <c r="B58" s="13"/>
      <c r="F58" s="16"/>
      <c r="H58" s="13"/>
    </row>
    <row r="59" spans="2:8" x14ac:dyDescent="0.25">
      <c r="B59" s="13"/>
      <c r="F59" s="16"/>
      <c r="H59" s="13"/>
    </row>
    <row r="60" spans="2:8" x14ac:dyDescent="0.2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152400</xdr:colOff>
                    <xdr:row>0</xdr:row>
                    <xdr:rowOff>209550</xdr:rowOff>
                  </from>
                  <to>
                    <xdr:col>4</xdr:col>
                    <xdr:colOff>523875</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vt:lpstr>
      <vt:lpstr>Index</vt:lpstr>
      <vt:lpstr>Ranked Sections</vt:lpstr>
      <vt:lpstr>callNumMask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2015-11-23T21:24:21Z</dcterms:modified>
</cp:coreProperties>
</file>