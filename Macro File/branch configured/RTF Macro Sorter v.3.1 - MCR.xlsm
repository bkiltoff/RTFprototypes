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Index!$E$1:$E$192</definedName>
  </definedNames>
  <calcPr calcId="162913"/>
  <fileRecoveryPr autoRecover="0"/>
</workbook>
</file>

<file path=xl/calcChain.xml><?xml version="1.0" encoding="utf-8"?>
<calcChain xmlns="http://schemas.openxmlformats.org/spreadsheetml/2006/main">
  <c r="D187" i="13" l="1"/>
  <c r="D188" i="13"/>
  <c r="E188" i="13" s="1"/>
  <c r="D189" i="13"/>
  <c r="D190" i="13"/>
  <c r="D191" i="13"/>
  <c r="D192" i="13"/>
  <c r="E187" i="13"/>
  <c r="E189" i="13"/>
  <c r="E190" i="13"/>
  <c r="E191" i="13"/>
  <c r="B191" i="13" l="1"/>
  <c r="B190" i="13"/>
  <c r="B189" i="13"/>
  <c r="B187" i="13"/>
  <c r="E192" i="13"/>
  <c r="B192" i="13" s="1"/>
  <c r="B188" i="13"/>
  <c r="D4" i="13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190" i="13" l="1"/>
  <c r="A189" i="13"/>
  <c r="A191" i="13"/>
  <c r="A187" i="13"/>
  <c r="A188" i="13"/>
  <c r="A192" i="13"/>
  <c r="A4" i="13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<sst xmlns="http://schemas.openxmlformats.org/spreadsheetml/2006/main" count="1132" uniqueCount="420">
  <si>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</si>
  <si>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</si>
  <si>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</si>
  <si>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</si>
  <si>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</si>
  <si>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</si>
  <si>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</si>
  <si>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</si>
  <si>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</si>
  <si>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</si>
  <si>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</si>
  <si>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</si>
  <si>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</si>
  <si>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</si>
  <si>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</si>
  <si>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</si>
  <si>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</si>
  <si>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</si>
  <si>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</si>
  <si>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</si>
  <si>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</si>
  <si>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</si>
  <si>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</si>
  <si>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</si>
  <si>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</si>
  <si>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</si>
  <si>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</si>
  <si>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</si>
  <si>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</si>
  <si>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</si>
  <si>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</si>
  <si>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</si>
  <si>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</si>
  <si>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</si>
  <si>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</si>
  <si>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</si>
  <si>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</si>
  <si>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</si>
  <si>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</si>
  <si>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</si>
  <si>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</si>
  <si>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</si>
  <si>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</si>
  <si>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</si>
  <si>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</si>
  <si>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</si>
  <si>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</si>
  <si>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</si>
  <si>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</si>
  <si>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</si>
  <si>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</si>
  <si>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</si>
  <si>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</si>
  <si>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</si>
  <si>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</si>
  <si>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</si>
  <si>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</si>
  <si>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</si>
  <si>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</si>
  <si>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</si>
  <si>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</si>
  <si>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</si>
  <si>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</si>
  <si>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</si>
  <si>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</si>
  <si>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</si>
  <si>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</si>
  <si>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</si>
  <si>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</si>
  <si>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</si>
  <si>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</si>
  <si>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</si>
  <si>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</si>
  <si>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</si>
  <si>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</si>
  <si>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</si>
  <si>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</si>
  <si>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</si>
  <si>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</si>
  <si>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</si>
  <si>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</si>
  <si>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</si>
  <si>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</si>
  <si>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</si>
  <si>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</si>
  <si>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</si>
  <si>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</si>
  <si>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</si>
  <si>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</si>
  <si>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</si>
  <si>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</si>
  <si>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</si>
  <si>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</si>
  <si>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</si>
  <si>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</si>
  <si>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</si>
  <si>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</si>
  <si>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</si>
  <si>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</si>
  <si>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</si>
  <si>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</si>
  <si>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</si>
  <si>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</si>
  <si>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</si>
  <si>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</si>
  <si>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</si>
  <si>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</si>
  <si>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</si>
  <si>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</si>
  <si>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</si>
  <si>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</si>
  <si>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</si>
  <si>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</si>
  <si>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</si>
  <si>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</si>
  <si>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</si>
  <si>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</si>
  <si>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</si>
  <si>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</si>
  <si>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</si>
  <si>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</si>
  <si>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</si>
  <si>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</si>
  <si>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</si>
  <si>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</si>
  <si>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</si>
  <si>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</si>
  <si>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</si>
  <si>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</si>
  <si>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</si>
  <si>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</si>
  <si>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</si>
  <si>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</si>
  <si>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</si>
  <si>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</si>
  <si>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</si>
  <si>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</si>
  <si>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</si>
  <si>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</si>
  <si>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</si>
  <si>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</si>
  <si>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</si>
  <si>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</si>
  <si>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</si>
  <si>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</si>
  <si>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</si>
  <si>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</si>
  <si>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</si>
  <si>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</si>
  <si>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</si>
  <si>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</si>
  <si>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</si>
  <si>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</si>
  <si>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</si>
  <si>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</si>
  <si>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</si>
  <si>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</si>
  <si>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</si>
  <si>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</si>
  <si>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</si>
  <si>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</si>
  <si>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</si>
  <si>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</si>
  <si>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</si>
  <si>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</si>
  <si>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</si>
  <si>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</si>
  <si>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</si>
  <si>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</si>
  <si>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</si>
  <si>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</si>
  <si>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</si>
  <si>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</si>
  <si>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</si>
  <si>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</si>
  <si>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</si>
  <si>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</si>
  <si>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</si>
  <si>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</si>
  <si>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</si>
  <si>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</si>
  <si>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</si>
  <si>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</si>
  <si>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</si>
  <si>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</si>
  <si>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</si>
  <si>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</si>
  <si>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</si>
  <si>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</si>
  <si>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</si>
  <si>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</si>
  <si>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</si>
  <si>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</si>
  <si>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</si>
  <si>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</si>
  <si>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</si>
  <si>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</si>
  <si>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</si>
  <si>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</si>
  <si>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</si>
  <si>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</si>
  <si>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</si>
  <si>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</si>
  <si>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</si>
  <si>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</si>
  <si>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</si>
  <si>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</si>
  <si>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</si>
  <si>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</si>
  <si>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</si>
  <si>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</si>
  <si>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</si>
  <si>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</si>
  <si>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</si>
  <si>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</si>
  <si>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</si>
  <si>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</si>
  <si>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</si>
  <si>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</si>
  <si>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</si>
  <si>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</si>
  <si>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</si>
  <si>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</si>
  <si>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</si>
  <si>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</si>
  <si>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</si>
  <si>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</si>
  <si>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</si>
  <si>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</si>
  <si>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</si>
  <si>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</si>
  <si>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</si>
  <si>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</si>
  <si>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</si>
  <si>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</si>
  <si>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</si>
  <si>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</si>
  <si>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</si>
  <si>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</si>
  <si>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</si>
  <si>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</si>
  <si>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</si>
  <si>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</si>
  <si>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</si>
  <si>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</si>
  <si>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</si>
  <si>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</si>
  <si>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</si>
  <si>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</si>
  <si>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</si>
  <si>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</si>
  <si>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</si>
  <si>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</si>
  <si>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</si>
  <si>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</si>
  <si>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</si>
  <si>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</si>
  <si>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</si>
  <si>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</si>
  <si>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</si>
  <si>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</si>
  <si>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</si>
  <si>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</si>
  <si>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</si>
  <si>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</si>
  <si>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</si>
  <si>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</si>
  <si>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</si>
  <si>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</si>
  <si>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</si>
  <si>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</si>
  <si>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</si>
  <si>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</si>
  <si>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</si>
  <si>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</si>
  <si>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</si>
  <si>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</si>
  <si>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</si>
  <si>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</si>
  <si>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</si>
  <si>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</si>
  <si>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</si>
  <si>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</si>
  <si>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</si>
  <si>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</si>
  <si>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</si>
  <si>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</si>
  <si>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</si>
  <si>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</si>
  <si>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</si>
  <si>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</si>
  <si>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</si>
  <si>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</si>
  <si>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</si>
  <si>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</si>
  <si>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</si>
  <si>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</si>
  <si>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</si>
  <si>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</si>
  <si>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</si>
  <si>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</si>
  <si>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</si>
  <si>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</si>
  <si>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</si>
  <si>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</si>
  <si>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</si>
  <si>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</si>
  <si>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</si>
  <si>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</si>
  <si>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</si>
  <si>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</si>
  <si>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</si>
  <si>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</si>
  <si>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</si>
  <si>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</si>
  <si>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</si>
  <si>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</si>
  <si>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</si>
  <si>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</si>
  <si>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</si>
  <si>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</si>
  <si>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</si>
  <si>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</si>
  <si>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</si>
  <si>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</si>
  <si>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</si>
  <si>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</si>
  <si>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</si>
  <si>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</si>
  <si>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</si>
  <si>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Debug</t>
  </si>
  <si>
    <t>Close Ranked Sections Table</t>
  </si>
  <si>
    <t>Close Index Table</t>
  </si>
  <si>
    <t>unknown</t>
  </si>
  <si>
    <t>New Fiction</t>
  </si>
  <si>
    <t>New Nonfiction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</si>
  <si>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</si>
  <si>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</si>
  <si>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</si>
  <si>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</si>
  <si>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</si>
  <si>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</si>
  <si>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</si>
  <si>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</si>
  <si>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</si>
  <si>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</si>
  <si>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</si>
  <si>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</si>
  <si>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</si>
  <si>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</si>
  <si>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</si>
  <si>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Audiobook Fiction</t>
  </si>
  <si>
    <t>Audiobook Nonfiction</t>
  </si>
  <si>
    <t>Audiobook Biography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</si>
  <si>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</si>
  <si>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</si>
  <si>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</si>
  <si>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</si>
  <si>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</si>
  <si>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</si>
  <si>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</si>
  <si>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</si>
  <si>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</si>
  <si>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</si>
  <si>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</si>
  <si>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</si>
  <si>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</si>
  <si>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</si>
  <si>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</si>
  <si>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</si>
  <si>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</si>
  <si>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</si>
  <si>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</si>
  <si>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</si>
  <si>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</si>
  <si>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</si>
  <si>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</si>
  <si>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</si>
  <si>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</si>
  <si>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</si>
  <si>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</si>
  <si>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</si>
  <si>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Biographies</t>
  </si>
  <si>
    <t>Chinese</t>
  </si>
  <si>
    <t>Japanese</t>
  </si>
  <si>
    <t>Korean</t>
  </si>
  <si>
    <t>Russian</t>
  </si>
  <si>
    <t>Spanish</t>
  </si>
  <si>
    <t>Tagalog</t>
  </si>
  <si>
    <t>Vietnamese</t>
  </si>
  <si>
    <t>Easy Nonfiction</t>
  </si>
  <si>
    <t>Readers Nonfiction</t>
  </si>
  <si>
    <t>J DVDs</t>
  </si>
  <si>
    <t>Easy CD Fiction</t>
  </si>
  <si>
    <t>E CD Nonfiction</t>
  </si>
  <si>
    <t>E CD Biography</t>
  </si>
  <si>
    <t>J CDs</t>
  </si>
  <si>
    <t>New J Fiction</t>
  </si>
  <si>
    <t>J CD Fiction</t>
  </si>
  <si>
    <t>J CD Nonfiction</t>
  </si>
  <si>
    <t>J CD Biography</t>
  </si>
  <si>
    <t>J Graphic Novels</t>
  </si>
  <si>
    <t>J Graphic Novels NF</t>
  </si>
  <si>
    <t>J Series</t>
  </si>
  <si>
    <t>J Magazines</t>
  </si>
  <si>
    <t>New Teen Fiction</t>
  </si>
  <si>
    <t>Teen Graphic Novels</t>
  </si>
  <si>
    <t>Teen Graphic Novels NF</t>
  </si>
  <si>
    <t>Teen CD</t>
  </si>
  <si>
    <t>Teen CD NF</t>
  </si>
  <si>
    <t>Teen CD Bio</t>
  </si>
  <si>
    <t>Adult Fiction Mysteries</t>
  </si>
  <si>
    <t>Adult Fiction Fantasy/Sci Fi</t>
  </si>
  <si>
    <t>Adult Graphic Novels</t>
  </si>
  <si>
    <t>Adult Graphic Novels NF</t>
  </si>
  <si>
    <t>Large Type NF</t>
  </si>
  <si>
    <t>Large Type Bio</t>
  </si>
  <si>
    <t>Magazines</t>
  </si>
  <si>
    <t>New Books</t>
  </si>
  <si>
    <t>J fiction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</si>
</sst>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31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  <xf numFmtId="0" fontId="7" fillId="0" borderId="0" xfId="0" applyFont="1"/>
    <xf numFmtId="0" fontId="5" fillId="0" borderId="0" xfId="2" applyNumberFormat="1" applyFont="1" applyFill="1" applyAlignment="1" applyProtection="1">
      <alignment horizontal="left" indent="1"/>
      <protection locked="0"/>
    </xf>
    <xf numFmtId="0" fontId="5" fillId="0" borderId="0" xfId="2" applyNumberFormat="1" applyFont="1" applyFill="1" applyAlignment="1" applyProtection="1">
      <alignment wrapText="1"/>
      <protection locked="0"/>
    </xf>
    <xf numFmtId="0" fontId="5" fillId="0" borderId="0" xfId="2" applyNumberFormat="1" applyFont="1" applyFill="1" applyAlignment="1" applyProtection="1">
      <alignment wrapText="1"/>
    </xf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23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92" totalsRowShown="0" headerRowDxfId="22" dataDxfId="21" headerRowCellStyle="Normal 3" dataCellStyle="Normal 3">
  <autoFilter ref="A1:K192"/>
  <tableColumns count="11">
    <tableColumn id="11" name="secret count" dataDxfId="20" dataCellStyle="Normal 3">
      <calculatedColumnFormula>COUNTIF(IndexTbl[unique],IndexTbl[[#This Row],[unique]])</calculatedColumnFormula>
    </tableColumn>
    <tableColumn id="10" name="unique" dataDxfId="19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8" dataCellStyle="Normal 3">
      <calculatedColumnFormula>ISNUMBER(IndexTbl[[#This Row],[Class]])</calculatedColumnFormula>
    </tableColumn>
    <tableColumn id="6" name="Call Number Mask" dataDxfId="17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2" dataCellStyle="Normal 3"/>
    <tableColumn id="8" name="Class" dataDxfId="11" dataCellStyle="Normal 3"/>
    <tableColumn id="9" name="Cutter [{Subject},{Author},{Other}]" dataDxfId="10" dataCellStyle="Normal 3"/>
    <tableColumn id="1" name="Shelf Location" dataDxfId="9" dataCellStyle="Normal 3"/>
    <tableColumn id="3" name="Helfpul Description" dataDxfId="8" dataCellStyle="Normal 3"/>
    <tableColumn id="2" name="Section Description" dataDxfId="7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97" totalsRowShown="0" headerRowDxfId="16" dataDxfId="14">
  <tableColumns count="1">
    <tableColumn id="1" name="Section 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G27" sqref="G27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6" customWidth="1"/>
    <col min="6" max="6" width="22.5703125" style="1" customWidth="1"/>
    <col min="7" max="7" width="22.5703125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57" thickBot="1" x14ac:dyDescent="0.35">
      <c r="A1" s="9" t="s">
        <v>328</v>
      </c>
      <c r="B1" s="10" t="s">
        <v>329</v>
      </c>
      <c r="C1" s="9" t="s">
        <v>289</v>
      </c>
      <c r="D1" s="9" t="s">
        <v>293</v>
      </c>
      <c r="E1" s="23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332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4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18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4" t="s">
        <v>18</v>
      </c>
      <c r="D3" s="14" t="b">
        <f>ISNUMBER(IndexTbl[[#This Row],[Class]])</f>
        <v>1</v>
      </c>
      <c r="E3" s="24" t="str">
        <f>TRIM(IndexTbl[[#This Row],[Prefix]]&amp;IF(NOT(IndexTbl[[#This Row],[Dewey Number]])," "&amp;IndexTbl[[#This Row],[Class]],""))</f>
        <v/>
      </c>
      <c r="F3" s="13"/>
      <c r="G3" s="13">
        <v>999.99</v>
      </c>
      <c r="H3" s="13" t="s">
        <v>268</v>
      </c>
      <c r="I3" s="14" t="s">
        <v>418</v>
      </c>
      <c r="J3" s="14" t="s">
        <v>134</v>
      </c>
      <c r="K3" s="15" t="s">
        <v>335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4" t="s">
        <v>46</v>
      </c>
      <c r="D4" s="14" t="b">
        <f>ISNUMBER(IndexTbl[[#This Row],[Class]])</f>
        <v>1</v>
      </c>
      <c r="E4" s="24" t="str">
        <f>TRIM(IndexTbl[[#This Row],[Prefix]]&amp;IF(NOT(IndexTbl[[#This Row],[Dewey Number]])," "&amp;IndexTbl[[#This Row],[Class]],""))</f>
        <v>J</v>
      </c>
      <c r="F4" s="13" t="s">
        <v>87</v>
      </c>
      <c r="G4" s="13">
        <v>999.99</v>
      </c>
      <c r="H4" s="13" t="s">
        <v>251</v>
      </c>
      <c r="I4" s="14"/>
      <c r="J4" s="14" t="s">
        <v>90</v>
      </c>
      <c r="K4" s="15" t="s">
        <v>18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4" t="s">
        <v>46</v>
      </c>
      <c r="D5" s="14" t="b">
        <f>ISNUMBER(IndexTbl[[#This Row],[Class]])</f>
        <v>0</v>
      </c>
      <c r="E5" s="24" t="str">
        <f>TRIM(IndexTbl[[#This Row],[Prefix]]&amp;IF(NOT(IndexTbl[[#This Row],[Dewey Number]])," "&amp;IndexTbl[[#This Row],[Class]],""))</f>
        <v/>
      </c>
      <c r="F5" s="13"/>
      <c r="G5" s="13"/>
      <c r="H5" s="13" t="s">
        <v>251</v>
      </c>
      <c r="I5" s="14" t="s">
        <v>418</v>
      </c>
      <c r="J5" s="14" t="s">
        <v>90</v>
      </c>
      <c r="K5" s="15" t="s">
        <v>18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4" t="s">
        <v>39</v>
      </c>
      <c r="D6" s="14" t="b">
        <f>ISNUMBER(IndexTbl[[#This Row],[Class]])</f>
        <v>1</v>
      </c>
      <c r="E6" s="24" t="str">
        <f>TRIM(IndexTbl[[#This Row],[Prefix]]&amp;IF(NOT(IndexTbl[[#This Row],[Dewey Number]])," "&amp;IndexTbl[[#This Row],[Class]],""))</f>
        <v>CD</v>
      </c>
      <c r="F6" s="13" t="s">
        <v>137</v>
      </c>
      <c r="G6" s="13">
        <v>999.99</v>
      </c>
      <c r="H6" s="13" t="s">
        <v>270</v>
      </c>
      <c r="I6" s="14"/>
      <c r="J6" s="14" t="s">
        <v>138</v>
      </c>
      <c r="K6" s="15" t="s">
        <v>352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4" t="s">
        <v>50</v>
      </c>
      <c r="D7" s="14" t="b">
        <f>ISNUMBER(IndexTbl[[#This Row],[Class]])</f>
        <v>1</v>
      </c>
      <c r="E7" s="24" t="str">
        <f>TRIM(IndexTbl[[#This Row],[Prefix]]&amp;IF(NOT(IndexTbl[[#This Row],[Dewey Number]])," "&amp;IndexTbl[[#This Row],[Class]],""))</f>
        <v>TEEN</v>
      </c>
      <c r="F7" s="13" t="s">
        <v>205</v>
      </c>
      <c r="G7" s="13">
        <v>999.99</v>
      </c>
      <c r="H7" s="13" t="s">
        <v>279</v>
      </c>
      <c r="I7" s="14"/>
      <c r="J7" s="14" t="s">
        <v>206</v>
      </c>
      <c r="K7" s="15" t="s">
        <v>18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4" t="s">
        <v>19</v>
      </c>
      <c r="D8" s="14" t="b">
        <f>ISNUMBER(IndexTbl[[#This Row],[Class]])</f>
        <v>0</v>
      </c>
      <c r="E8" s="24" t="str">
        <f>TRIM(IndexTbl[[#This Row],[Prefix]]&amp;IF(NOT(IndexTbl[[#This Row],[Dewey Number]])," "&amp;IndexTbl[[#This Row],[Class]],""))</f>
        <v>BIO</v>
      </c>
      <c r="F8" s="13"/>
      <c r="G8" s="13" t="s">
        <v>58</v>
      </c>
      <c r="H8" s="13" t="s">
        <v>265</v>
      </c>
      <c r="I8" s="14"/>
      <c r="J8" s="14" t="s">
        <v>135</v>
      </c>
      <c r="K8" s="15" t="s">
        <v>382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4" t="s">
        <v>42</v>
      </c>
      <c r="D9" s="14" t="b">
        <f>ISNUMBER(IndexTbl[[#This Row],[Class]])</f>
        <v>0</v>
      </c>
      <c r="E9" s="24" t="str">
        <f>TRIM(IndexTbl[[#This Row],[Prefix]]&amp;IF(NOT(IndexTbl[[#This Row],[Dewey Number]])," "&amp;IndexTbl[[#This Row],[Class]],""))</f>
        <v>J BIO</v>
      </c>
      <c r="F9" s="13" t="s">
        <v>87</v>
      </c>
      <c r="G9" s="13" t="s">
        <v>58</v>
      </c>
      <c r="H9" s="13" t="s">
        <v>265</v>
      </c>
      <c r="I9" s="14"/>
      <c r="J9" s="14" t="s">
        <v>103</v>
      </c>
      <c r="K9" s="15" t="s">
        <v>382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4" t="s">
        <v>42</v>
      </c>
      <c r="D10" s="14" t="b">
        <f>ISNUMBER(IndexTbl[[#This Row],[Class]])</f>
        <v>0</v>
      </c>
      <c r="E10" s="24" t="str">
        <f>TRIM(IndexTbl[[#This Row],[Prefix]]&amp;IF(NOT(IndexTbl[[#This Row],[Dewey Number]])," "&amp;IndexTbl[[#This Row],[Class]],""))</f>
        <v/>
      </c>
      <c r="F10" s="13"/>
      <c r="G10" s="13"/>
      <c r="H10" s="13" t="s">
        <v>265</v>
      </c>
      <c r="I10" s="14" t="s">
        <v>418</v>
      </c>
      <c r="J10" s="14" t="s">
        <v>103</v>
      </c>
      <c r="K10" s="15" t="s">
        <v>382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4" t="s">
        <v>39</v>
      </c>
      <c r="D11" s="14" t="b">
        <f>ISNUMBER(IndexTbl[[#This Row],[Class]])</f>
        <v>0</v>
      </c>
      <c r="E11" s="24" t="str">
        <f>TRIM(IndexTbl[[#This Row],[Prefix]]&amp;IF(NOT(IndexTbl[[#This Row],[Dewey Number]])," "&amp;IndexTbl[[#This Row],[Class]],""))</f>
        <v>CD BIO</v>
      </c>
      <c r="F11" s="13" t="s">
        <v>137</v>
      </c>
      <c r="G11" s="13" t="s">
        <v>58</v>
      </c>
      <c r="H11" s="13" t="s">
        <v>271</v>
      </c>
      <c r="I11" s="14"/>
      <c r="J11" s="14" t="s">
        <v>139</v>
      </c>
      <c r="K11" s="15" t="s">
        <v>353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4" t="s">
        <v>48</v>
      </c>
      <c r="D12" s="14" t="b">
        <f>ISNUMBER(IndexTbl[[#This Row],[Class]])</f>
        <v>0</v>
      </c>
      <c r="E12" s="24" t="str">
        <f>TRIM(IndexTbl[[#This Row],[Prefix]]&amp;IF(NOT(IndexTbl[[#This Row],[Dewey Number]])," "&amp;IndexTbl[[#This Row],[Class]],""))</f>
        <v>TEEN BIO</v>
      </c>
      <c r="F12" s="13" t="s">
        <v>205</v>
      </c>
      <c r="G12" s="13" t="s">
        <v>58</v>
      </c>
      <c r="H12" s="13" t="s">
        <v>252</v>
      </c>
      <c r="I12" s="14"/>
      <c r="J12" s="14" t="s">
        <v>48</v>
      </c>
      <c r="K12" s="15" t="s">
        <v>382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4" t="s">
        <v>3</v>
      </c>
      <c r="D13" s="14" t="b">
        <f>ISNUMBER(IndexTbl[[#This Row],[Class]])</f>
        <v>0</v>
      </c>
      <c r="E13" s="24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412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4" t="s">
        <v>1</v>
      </c>
      <c r="D14" s="14" t="b">
        <f>ISNUMBER(IndexTbl[[#This Row],[Class]])</f>
        <v>0</v>
      </c>
      <c r="E14" s="24" t="str">
        <f>TRIM(IndexTbl[[#This Row],[Prefix]]&amp;IF(NOT(IndexTbl[[#This Row],[Dewey Number]])," "&amp;IndexTbl[[#This Row],[Class]],""))</f>
        <v>FIC</v>
      </c>
      <c r="F14" s="13"/>
      <c r="G14" s="13" t="s">
        <v>61</v>
      </c>
      <c r="H14" s="13" t="s">
        <v>267</v>
      </c>
      <c r="I14" s="14"/>
      <c r="J14" s="14" t="s">
        <v>133</v>
      </c>
      <c r="K14" s="15" t="s">
        <v>411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4" t="s">
        <v>2</v>
      </c>
      <c r="D15" s="16" t="b">
        <f>ISNUMBER(IndexTbl[[#This Row],[Class]])</f>
        <v>0</v>
      </c>
      <c r="E15" s="24" t="str">
        <f>TRIM(IndexTbl[[#This Row],[Prefix]]&amp;IF(NOT(IndexTbl[[#This Row],[Dewey Number]])," "&amp;IndexTbl[[#This Row],[Class]],""))</f>
        <v>FIC</v>
      </c>
      <c r="F15" s="13"/>
      <c r="G15" s="13" t="s">
        <v>61</v>
      </c>
      <c r="H15" s="13" t="s">
        <v>267</v>
      </c>
      <c r="I15" s="14"/>
      <c r="J15" s="14" t="s">
        <v>133</v>
      </c>
      <c r="K15" s="15" t="s">
        <v>412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4" t="s">
        <v>23</v>
      </c>
      <c r="D16" s="16" t="b">
        <f>ISNUMBER(IndexTbl[[#This Row],[Class]])</f>
        <v>0</v>
      </c>
      <c r="E16" s="24" t="str">
        <f>TRIM(IndexTbl[[#This Row],[Prefix]]&amp;IF(NOT(IndexTbl[[#This Row],[Dewey Number]])," "&amp;IndexTbl[[#This Row],[Class]],""))</f>
        <v>FIC</v>
      </c>
      <c r="F16" s="13"/>
      <c r="G16" s="13" t="s">
        <v>61</v>
      </c>
      <c r="H16" s="13" t="s">
        <v>267</v>
      </c>
      <c r="I16" s="14"/>
      <c r="J16" s="14" t="s">
        <v>133</v>
      </c>
      <c r="K16" s="15" t="s">
        <v>133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4" t="s">
        <v>23</v>
      </c>
      <c r="D17" s="16" t="b">
        <f>ISNUMBER(IndexTbl[[#This Row],[Class]])</f>
        <v>0</v>
      </c>
      <c r="E17" s="24" t="str">
        <f>TRIM(IndexTbl[[#This Row],[Prefix]]&amp;IF(NOT(IndexTbl[[#This Row],[Dewey Number]])," "&amp;IndexTbl[[#This Row],[Class]],""))</f>
        <v>FIC</v>
      </c>
      <c r="F17" s="13"/>
      <c r="G17" s="13" t="s">
        <v>61</v>
      </c>
      <c r="H17" s="13" t="s">
        <v>267</v>
      </c>
      <c r="I17" s="14" t="s">
        <v>418</v>
      </c>
      <c r="J17" s="14" t="s">
        <v>133</v>
      </c>
      <c r="K17" s="15" t="s">
        <v>334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4" t="s">
        <v>39</v>
      </c>
      <c r="D18" s="16" t="b">
        <f>ISNUMBER(IndexTbl[[#This Row],[Class]])</f>
        <v>0</v>
      </c>
      <c r="E18" s="24" t="str">
        <f>TRIM(IndexTbl[[#This Row],[Prefix]]&amp;IF(NOT(IndexTbl[[#This Row],[Dewey Number]])," "&amp;IndexTbl[[#This Row],[Class]],""))</f>
        <v>CD FIC</v>
      </c>
      <c r="F18" s="13" t="s">
        <v>137</v>
      </c>
      <c r="G18" s="13" t="s">
        <v>61</v>
      </c>
      <c r="H18" s="13" t="s">
        <v>269</v>
      </c>
      <c r="I18" s="14"/>
      <c r="J18" s="14" t="s">
        <v>136</v>
      </c>
      <c r="K18" s="15" t="s">
        <v>351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6" t="s">
        <v>43</v>
      </c>
      <c r="D19" s="16" t="b">
        <f>ISNUMBER(IndexTbl[[#This Row],[Class]])</f>
        <v>1</v>
      </c>
      <c r="E19" s="24" t="str">
        <f>TRIM(IndexTbl[[#This Row],[Prefix]]&amp;IF(NOT(IndexTbl[[#This Row],[Dewey Number]])," "&amp;IndexTbl[[#This Row],[Class]],""))</f>
        <v>J DVD-ED</v>
      </c>
      <c r="F19" s="17" t="s">
        <v>98</v>
      </c>
      <c r="G19" s="17">
        <v>999.99</v>
      </c>
      <c r="H19" s="17" t="s">
        <v>262</v>
      </c>
      <c r="I19" s="16"/>
      <c r="J19" s="16" t="s">
        <v>97</v>
      </c>
      <c r="K19" s="15" t="s">
        <v>142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6" t="s">
        <v>44</v>
      </c>
      <c r="D20" s="16" t="b">
        <f>ISNUMBER(IndexTbl[[#This Row],[Class]])</f>
        <v>1</v>
      </c>
      <c r="E20" s="24" t="str">
        <f>TRIM(IndexTbl[[#This Row],[Prefix]]&amp;IF(NOT(IndexTbl[[#This Row],[Dewey Number]])," "&amp;IndexTbl[[#This Row],[Class]],""))</f>
        <v>J LGE-TYPE</v>
      </c>
      <c r="F20" s="17" t="s">
        <v>100</v>
      </c>
      <c r="G20" s="17">
        <v>999.99</v>
      </c>
      <c r="H20" s="17" t="s">
        <v>264</v>
      </c>
      <c r="I20" s="16"/>
      <c r="J20" s="16" t="s">
        <v>101</v>
      </c>
      <c r="K20" s="15" t="s">
        <v>18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6" t="s">
        <v>40</v>
      </c>
      <c r="D21" s="14" t="b">
        <f>ISNUMBER(IndexTbl[[#This Row],[Class]])</f>
        <v>1</v>
      </c>
      <c r="E21" s="24" t="str">
        <f>TRIM(IndexTbl[[#This Row],[Prefix]]&amp;IF(NOT(IndexTbl[[#This Row],[Dewey Number]])," "&amp;IndexTbl[[#This Row],[Class]],""))</f>
        <v>DVD-ED</v>
      </c>
      <c r="F21" s="17" t="s">
        <v>142</v>
      </c>
      <c r="G21" s="17">
        <v>999.99</v>
      </c>
      <c r="H21" s="17" t="s">
        <v>273</v>
      </c>
      <c r="I21" s="16"/>
      <c r="J21" s="16" t="s">
        <v>141</v>
      </c>
      <c r="K21" s="15" t="s">
        <v>142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6" t="s">
        <v>49</v>
      </c>
      <c r="D22" s="14" t="b">
        <f>ISNUMBER(IndexTbl[[#This Row],[Class]])</f>
        <v>1</v>
      </c>
      <c r="E22" s="24" t="str">
        <f>TRIM(IndexTbl[[#This Row],[Prefix]]&amp;IF(NOT(IndexTbl[[#This Row],[Dewey Number]])," "&amp;IndexTbl[[#This Row],[Class]],""))</f>
        <v>TEEN LGE-TYPE</v>
      </c>
      <c r="F22" s="17" t="s">
        <v>212</v>
      </c>
      <c r="G22" s="17">
        <v>999.99</v>
      </c>
      <c r="H22" s="17" t="s">
        <v>283</v>
      </c>
      <c r="I22" s="16"/>
      <c r="J22" s="16" t="s">
        <v>213</v>
      </c>
      <c r="K22" s="15" t="s">
        <v>18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6" t="s">
        <v>44</v>
      </c>
      <c r="D23" s="14" t="b">
        <f>ISNUMBER(IndexTbl[[#This Row],[Class]])</f>
        <v>0</v>
      </c>
      <c r="E23" s="24" t="str">
        <f>TRIM(IndexTbl[[#This Row],[Prefix]]&amp;IF(NOT(IndexTbl[[#This Row],[Dewey Number]])," "&amp;IndexTbl[[#This Row],[Class]],""))</f>
        <v>J LGE-TYPE BIO</v>
      </c>
      <c r="F23" s="17" t="s">
        <v>100</v>
      </c>
      <c r="G23" s="17" t="s">
        <v>58</v>
      </c>
      <c r="H23" s="17" t="s">
        <v>265</v>
      </c>
      <c r="I23" s="16"/>
      <c r="J23" s="16" t="s">
        <v>102</v>
      </c>
      <c r="K23" s="15" t="s">
        <v>382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6" t="s">
        <v>49</v>
      </c>
      <c r="D24" s="14" t="b">
        <f>ISNUMBER(IndexTbl[[#This Row],[Class]])</f>
        <v>0</v>
      </c>
      <c r="E24" s="24" t="str">
        <f>TRIM(IndexTbl[[#This Row],[Prefix]]&amp;IF(NOT(IndexTbl[[#This Row],[Dewey Number]])," "&amp;IndexTbl[[#This Row],[Class]],""))</f>
        <v>TEEN LGE-TYPE BIO</v>
      </c>
      <c r="F24" s="17" t="s">
        <v>212</v>
      </c>
      <c r="G24" s="17" t="s">
        <v>58</v>
      </c>
      <c r="H24" s="17" t="s">
        <v>284</v>
      </c>
      <c r="I24" s="16"/>
      <c r="J24" s="16" t="s">
        <v>214</v>
      </c>
      <c r="K24" s="15" t="s">
        <v>382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4" t="s">
        <v>20</v>
      </c>
      <c r="D25" s="16" t="b">
        <f>ISNUMBER(IndexTbl[[#This Row],[Class]])</f>
        <v>0</v>
      </c>
      <c r="E25" s="24" t="str">
        <f>TRIM(IndexTbl[[#This Row],[Prefix]]&amp;IF(NOT(IndexTbl[[#This Row],[Dewey Number]])," "&amp;IndexTbl[[#This Row],[Class]],""))</f>
        <v>TEEN CD FIC</v>
      </c>
      <c r="F25" s="13" t="s">
        <v>208</v>
      </c>
      <c r="G25" s="13" t="s">
        <v>61</v>
      </c>
      <c r="H25" s="13" t="s">
        <v>280</v>
      </c>
      <c r="I25" s="14"/>
      <c r="J25" s="14" t="s">
        <v>207</v>
      </c>
      <c r="K25" s="15" t="s">
        <v>408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4" t="s">
        <v>20</v>
      </c>
      <c r="D26" s="16" t="b">
        <f>ISNUMBER(IndexTbl[[#This Row],[Class]])</f>
        <v>1</v>
      </c>
      <c r="E26" s="24" t="str">
        <f>TRIM(IndexTbl[[#This Row],[Prefix]]&amp;IF(NOT(IndexTbl[[#This Row],[Dewey Number]])," "&amp;IndexTbl[[#This Row],[Class]],""))</f>
        <v>TEEN CD</v>
      </c>
      <c r="F26" s="13" t="s">
        <v>208</v>
      </c>
      <c r="G26" s="13">
        <v>999.99</v>
      </c>
      <c r="H26" s="13" t="s">
        <v>281</v>
      </c>
      <c r="I26" s="14"/>
      <c r="J26" s="14" t="s">
        <v>209</v>
      </c>
      <c r="K26" s="15" t="s">
        <v>409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4" t="s">
        <v>20</v>
      </c>
      <c r="D27" s="16" t="b">
        <f>ISNUMBER(IndexTbl[[#This Row],[Class]])</f>
        <v>0</v>
      </c>
      <c r="E27" s="24" t="str">
        <f>TRIM(IndexTbl[[#This Row],[Prefix]]&amp;IF(NOT(IndexTbl[[#This Row],[Dewey Number]])," "&amp;IndexTbl[[#This Row],[Class]],""))</f>
        <v>TEEN CD BIO</v>
      </c>
      <c r="F27" s="13" t="s">
        <v>208</v>
      </c>
      <c r="G27" s="13" t="s">
        <v>58</v>
      </c>
      <c r="H27" s="13" t="s">
        <v>282</v>
      </c>
      <c r="I27" s="14"/>
      <c r="J27" s="14" t="s">
        <v>210</v>
      </c>
      <c r="K27" s="15" t="s">
        <v>410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4" t="s">
        <v>21</v>
      </c>
      <c r="D28" s="16" t="b">
        <f>ISNUMBER(IndexTbl[[#This Row],[Class]])</f>
        <v>0</v>
      </c>
      <c r="E28" s="24" t="str">
        <f>TRIM(IndexTbl[[#This Row],[Prefix]]&amp;IF(NOT(IndexTbl[[#This Row],[Dewey Number]])," "&amp;IndexTbl[[#This Row],[Class]],""))</f>
        <v>TEEN</v>
      </c>
      <c r="F28" s="13" t="s">
        <v>205</v>
      </c>
      <c r="G28" s="13"/>
      <c r="H28" s="13" t="s">
        <v>278</v>
      </c>
      <c r="I28" s="14"/>
      <c r="J28" s="14" t="s">
        <v>21</v>
      </c>
      <c r="K28" s="15" t="s">
        <v>21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4" t="s">
        <v>21</v>
      </c>
      <c r="D29" s="16" t="b">
        <f>ISNUMBER(IndexTbl[[#This Row],[Class]])</f>
        <v>0</v>
      </c>
      <c r="E29" s="24" t="str">
        <f>TRIM(IndexTbl[[#This Row],[Prefix]]&amp;IF(NOT(IndexTbl[[#This Row],[Dewey Number]])," "&amp;IndexTbl[[#This Row],[Class]],""))</f>
        <v>TEEN</v>
      </c>
      <c r="F29" s="13" t="s">
        <v>205</v>
      </c>
      <c r="G29" s="13"/>
      <c r="H29" s="13" t="s">
        <v>278</v>
      </c>
      <c r="I29" s="14" t="s">
        <v>418</v>
      </c>
      <c r="J29" s="14" t="s">
        <v>21</v>
      </c>
      <c r="K29" s="15" t="s">
        <v>405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6" t="s">
        <v>22</v>
      </c>
      <c r="D30" s="14" t="b">
        <f>ISNUMBER(IndexTbl[[#This Row],[Class]])</f>
        <v>0</v>
      </c>
      <c r="E30" s="24" t="str">
        <f>TRIM(IndexTbl[[#This Row],[Prefix]]&amp;IF(NOT(IndexTbl[[#This Row],[Dewey Number]])," "&amp;IndexTbl[[#This Row],[Class]],""))</f>
        <v>LGE-TYPE</v>
      </c>
      <c r="F30" s="17" t="s">
        <v>144</v>
      </c>
      <c r="G30" s="17"/>
      <c r="H30" s="17" t="s">
        <v>274</v>
      </c>
      <c r="I30" s="16"/>
      <c r="J30" s="16" t="s">
        <v>143</v>
      </c>
      <c r="K30" s="15" t="s">
        <v>22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6" t="s">
        <v>22</v>
      </c>
      <c r="D31" s="14" t="b">
        <f>ISNUMBER(IndexTbl[[#This Row],[Class]])</f>
        <v>1</v>
      </c>
      <c r="E31" s="24" t="str">
        <f>TRIM(IndexTbl[[#This Row],[Prefix]]&amp;IF(NOT(IndexTbl[[#This Row],[Dewey Number]])," "&amp;IndexTbl[[#This Row],[Class]],""))</f>
        <v>LGE-TYPE</v>
      </c>
      <c r="F31" s="17" t="s">
        <v>144</v>
      </c>
      <c r="G31" s="17">
        <v>999.99</v>
      </c>
      <c r="H31" s="17" t="s">
        <v>275</v>
      </c>
      <c r="I31" s="16"/>
      <c r="J31" s="16" t="s">
        <v>145</v>
      </c>
      <c r="K31" s="15" t="s">
        <v>415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6" t="s">
        <v>22</v>
      </c>
      <c r="D32" s="14" t="b">
        <f>ISNUMBER(IndexTbl[[#This Row],[Class]])</f>
        <v>0</v>
      </c>
      <c r="E32" s="24" t="str">
        <f>TRIM(IndexTbl[[#This Row],[Prefix]]&amp;IF(NOT(IndexTbl[[#This Row],[Dewey Number]])," "&amp;IndexTbl[[#This Row],[Class]],""))</f>
        <v>LGE-TYPE BIO</v>
      </c>
      <c r="F32" s="17" t="s">
        <v>144</v>
      </c>
      <c r="G32" s="17" t="s">
        <v>58</v>
      </c>
      <c r="H32" s="17" t="s">
        <v>265</v>
      </c>
      <c r="I32" s="16"/>
      <c r="J32" s="16" t="s">
        <v>146</v>
      </c>
      <c r="K32" s="15" t="s">
        <v>416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6" t="s">
        <v>44</v>
      </c>
      <c r="D33" s="14" t="b">
        <f>ISNUMBER(IndexTbl[[#This Row],[Class]])</f>
        <v>0</v>
      </c>
      <c r="E33" s="24" t="str">
        <f>TRIM(IndexTbl[[#This Row],[Prefix]]&amp;IF(NOT(IndexTbl[[#This Row],[Dewey Number]])," "&amp;IndexTbl[[#This Row],[Class]],""))</f>
        <v>J LGE-TYPE</v>
      </c>
      <c r="F33" s="17" t="s">
        <v>100</v>
      </c>
      <c r="G33" s="17"/>
      <c r="H33" s="17" t="s">
        <v>263</v>
      </c>
      <c r="I33" s="16"/>
      <c r="J33" s="16" t="s">
        <v>99</v>
      </c>
      <c r="K33" s="15" t="s">
        <v>419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6" t="s">
        <v>49</v>
      </c>
      <c r="D34" s="14" t="b">
        <f>ISNUMBER(IndexTbl[[#This Row],[Class]])</f>
        <v>0</v>
      </c>
      <c r="E34" s="24" t="str">
        <f>TRIM(IndexTbl[[#This Row],[Prefix]]&amp;IF(NOT(IndexTbl[[#This Row],[Dewey Number]])," "&amp;IndexTbl[[#This Row],[Class]],""))</f>
        <v>TEEN LGE-TYPE</v>
      </c>
      <c r="F34" s="17" t="s">
        <v>212</v>
      </c>
      <c r="G34" s="17"/>
      <c r="H34" s="17" t="s">
        <v>274</v>
      </c>
      <c r="I34" s="16"/>
      <c r="J34" s="16" t="s">
        <v>211</v>
      </c>
      <c r="K34" s="15" t="s">
        <v>21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4" t="s">
        <v>24</v>
      </c>
      <c r="D35" s="16" t="b">
        <f>ISNUMBER(IndexTbl[[#This Row],[Class]])</f>
        <v>0</v>
      </c>
      <c r="E35" s="24" t="str">
        <f>TRIM(IndexTbl[[#This Row],[Prefix]]&amp;IF(NOT(IndexTbl[[#This Row],[Dewey Number]])," "&amp;IndexTbl[[#This Row],[Class]],""))</f>
        <v>J</v>
      </c>
      <c r="F35" s="13" t="s">
        <v>87</v>
      </c>
      <c r="G35" s="13"/>
      <c r="H35" s="13" t="s">
        <v>257</v>
      </c>
      <c r="I35" s="14" t="s">
        <v>418</v>
      </c>
      <c r="J35" s="14" t="s">
        <v>86</v>
      </c>
      <c r="K35" s="15" t="s">
        <v>397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4" t="s">
        <v>24</v>
      </c>
      <c r="D36" s="16" t="b">
        <f>ISNUMBER(IndexTbl[[#This Row],[Class]])</f>
        <v>0</v>
      </c>
      <c r="E36" s="24" t="str">
        <f>TRIM(IndexTbl[[#This Row],[Prefix]]&amp;IF(NOT(IndexTbl[[#This Row],[Dewey Number]])," "&amp;IndexTbl[[#This Row],[Class]],""))</f>
        <v>J</v>
      </c>
      <c r="F36" s="13" t="s">
        <v>87</v>
      </c>
      <c r="G36" s="13"/>
      <c r="H36" s="13" t="s">
        <v>257</v>
      </c>
      <c r="I36" s="14"/>
      <c r="J36" s="14" t="s">
        <v>86</v>
      </c>
      <c r="K36" s="15" t="s">
        <v>86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4" t="s">
        <v>24</v>
      </c>
      <c r="D37" s="16" t="b">
        <f>ISNUMBER(IndexTbl[[#This Row],[Class]])</f>
        <v>0</v>
      </c>
      <c r="E37" s="24" t="str">
        <f>TRIM(IndexTbl[[#This Row],[Prefix]]&amp;IF(NOT(IndexTbl[[#This Row],[Dewey Number]])," "&amp;IndexTbl[[#This Row],[Class]],""))</f>
        <v>J SERIES</v>
      </c>
      <c r="F37" s="13" t="s">
        <v>52</v>
      </c>
      <c r="G37" s="13" t="s">
        <v>89</v>
      </c>
      <c r="H37" s="13" t="s">
        <v>294</v>
      </c>
      <c r="I37" s="14"/>
      <c r="J37" s="14" t="s">
        <v>88</v>
      </c>
      <c r="K37" s="15" t="s">
        <v>403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4" t="s">
        <v>37</v>
      </c>
      <c r="D38" s="14" t="b">
        <f>ISNUMBER(IndexTbl[[#This Row],[Class]])</f>
        <v>0</v>
      </c>
      <c r="E38" s="24" t="str">
        <f>TRIM(IndexTbl[[#This Row],[Prefix]]&amp;IF(NOT(IndexTbl[[#This Row],[Dewey Number]])," "&amp;IndexTbl[[#This Row],[Class]],""))</f>
        <v>J CD FIC</v>
      </c>
      <c r="F38" s="13" t="s">
        <v>92</v>
      </c>
      <c r="G38" s="13" t="s">
        <v>61</v>
      </c>
      <c r="H38" s="13" t="s">
        <v>258</v>
      </c>
      <c r="I38" s="14"/>
      <c r="J38" s="14" t="s">
        <v>91</v>
      </c>
      <c r="K38" s="15" t="s">
        <v>398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4" t="s">
        <v>37</v>
      </c>
      <c r="D39" s="18" t="b">
        <f>ISNUMBER(IndexTbl[[#This Row],[Class]])</f>
        <v>1</v>
      </c>
      <c r="E39" s="24" t="str">
        <f>TRIM(IndexTbl[[#This Row],[Prefix]]&amp;IF(NOT(IndexTbl[[#This Row],[Dewey Number]])," "&amp;IndexTbl[[#This Row],[Class]],""))</f>
        <v>J CD</v>
      </c>
      <c r="F39" s="13" t="s">
        <v>92</v>
      </c>
      <c r="G39" s="13">
        <v>999.99</v>
      </c>
      <c r="H39" s="13" t="s">
        <v>259</v>
      </c>
      <c r="I39" s="14"/>
      <c r="J39" s="14" t="s">
        <v>93</v>
      </c>
      <c r="K39" s="15" t="s">
        <v>399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4" t="s">
        <v>37</v>
      </c>
      <c r="D40" s="14" t="b">
        <f>ISNUMBER(IndexTbl[[#This Row],[Class]])</f>
        <v>0</v>
      </c>
      <c r="E40" s="24" t="str">
        <f>TRIM(IndexTbl[[#This Row],[Prefix]]&amp;IF(NOT(IndexTbl[[#This Row],[Dewey Number]])," "&amp;IndexTbl[[#This Row],[Class]],""))</f>
        <v>J CD BIO</v>
      </c>
      <c r="F40" s="13" t="s">
        <v>92</v>
      </c>
      <c r="G40" s="13" t="s">
        <v>58</v>
      </c>
      <c r="H40" s="13" t="s">
        <v>260</v>
      </c>
      <c r="I40" s="14"/>
      <c r="J40" s="14" t="s">
        <v>94</v>
      </c>
      <c r="K40" s="15" t="s">
        <v>400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6" t="s">
        <v>25</v>
      </c>
      <c r="D41" s="14" t="b">
        <f>ISNUMBER(IndexTbl[[#This Row],[Class]])</f>
        <v>0</v>
      </c>
      <c r="E41" s="24" t="str">
        <f>TRIM(IndexTbl[[#This Row],[Prefix]]&amp;IF(NOT(IndexTbl[[#This Row],[Dewey Number]])," "&amp;IndexTbl[[#This Row],[Class]],""))</f>
        <v>J DVD</v>
      </c>
      <c r="F41" s="17" t="s">
        <v>96</v>
      </c>
      <c r="G41" s="17"/>
      <c r="H41" s="17" t="s">
        <v>261</v>
      </c>
      <c r="I41" s="16"/>
      <c r="J41" s="16" t="s">
        <v>95</v>
      </c>
      <c r="K41" s="15" t="s">
        <v>392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6" t="s">
        <v>26</v>
      </c>
      <c r="D42" s="14" t="b">
        <f>ISNUMBER(IndexTbl[[#This Row],[Class]])</f>
        <v>0</v>
      </c>
      <c r="E42" s="24" t="str">
        <f>TRIM(IndexTbl[[#This Row],[Prefix]]&amp;IF(NOT(IndexTbl[[#This Row],[Dewey Number]])," "&amp;IndexTbl[[#This Row],[Class]],""))</f>
        <v>J CD OH</v>
      </c>
      <c r="F42" s="17" t="s">
        <v>92</v>
      </c>
      <c r="G42" s="17" t="s">
        <v>129</v>
      </c>
      <c r="H42" s="17" t="s">
        <v>266</v>
      </c>
      <c r="I42" s="16"/>
      <c r="J42" s="16" t="s">
        <v>128</v>
      </c>
      <c r="K42" s="15" t="s">
        <v>396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6" t="s">
        <v>26</v>
      </c>
      <c r="D43" s="18" t="b">
        <f>ISNUMBER(IndexTbl[[#This Row],[Class]])</f>
        <v>0</v>
      </c>
      <c r="E43" s="24" t="str">
        <f>TRIM(IndexTbl[[#This Row],[Prefix]]&amp;IF(NOT(IndexTbl[[#This Row],[Dewey Number]])," "&amp;IndexTbl[[#This Row],[Class]],""))</f>
        <v>J CD OM</v>
      </c>
      <c r="F43" s="17" t="s">
        <v>92</v>
      </c>
      <c r="G43" s="17" t="s">
        <v>130</v>
      </c>
      <c r="H43" s="17" t="s">
        <v>266</v>
      </c>
      <c r="I43" s="16"/>
      <c r="J43" s="16" t="s">
        <v>128</v>
      </c>
      <c r="K43" s="15" t="s">
        <v>396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4" t="s">
        <v>27</v>
      </c>
      <c r="D44" s="14" t="b">
        <f>ISNUMBER(IndexTbl[[#This Row],[Class]])</f>
        <v>0</v>
      </c>
      <c r="E44" s="24" t="str">
        <f>TRIM(IndexTbl[[#This Row],[Prefix]]&amp;IF(NOT(IndexTbl[[#This Row],[Dewey Number]])," "&amp;IndexTbl[[#This Row],[Class]],""))</f>
        <v>E</v>
      </c>
      <c r="F44" s="13" t="s">
        <v>53</v>
      </c>
      <c r="G44" s="13"/>
      <c r="H44" s="13" t="s">
        <v>249</v>
      </c>
      <c r="I44" s="14"/>
      <c r="J44" s="14" t="s">
        <v>286</v>
      </c>
      <c r="K44" s="15" t="s">
        <v>248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4" t="s">
        <v>0</v>
      </c>
      <c r="D45" s="14" t="b">
        <f>ISNUMBER(IndexTbl[[#This Row],[Class]])</f>
        <v>0</v>
      </c>
      <c r="E45" s="24" t="str">
        <f>TRIM(IndexTbl[[#This Row],[Prefix]]&amp;IF(NOT(IndexTbl[[#This Row],[Dewey Number]])," "&amp;IndexTbl[[#This Row],[Class]],""))</f>
        <v>E</v>
      </c>
      <c r="F45" s="13" t="s">
        <v>53</v>
      </c>
      <c r="G45" s="13"/>
      <c r="H45" s="13" t="s">
        <v>249</v>
      </c>
      <c r="I45" s="14"/>
      <c r="J45" s="14" t="s">
        <v>295</v>
      </c>
      <c r="K45" s="15" t="s">
        <v>0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4" t="s">
        <v>28</v>
      </c>
      <c r="D46" s="14" t="b">
        <f>ISNUMBER(IndexTbl[[#This Row],[Class]])</f>
        <v>0</v>
      </c>
      <c r="E46" s="24" t="str">
        <f>TRIM(IndexTbl[[#This Row],[Prefix]]&amp;IF(NOT(IndexTbl[[#This Row],[Dewey Number]])," "&amp;IndexTbl[[#This Row],[Class]],""))</f>
        <v>E</v>
      </c>
      <c r="F46" s="13" t="s">
        <v>53</v>
      </c>
      <c r="G46" s="13"/>
      <c r="H46" s="13" t="s">
        <v>249</v>
      </c>
      <c r="I46" s="14"/>
      <c r="J46" s="14" t="s">
        <v>248</v>
      </c>
      <c r="K46" s="15" t="s">
        <v>248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4" t="s">
        <v>28</v>
      </c>
      <c r="D47" s="14" t="b">
        <f>ISNUMBER(IndexTbl[[#This Row],[Class]])</f>
        <v>0</v>
      </c>
      <c r="E47" s="24" t="str">
        <f>TRIM(IndexTbl[[#This Row],[Prefix]]&amp;IF(NOT(IndexTbl[[#This Row],[Dewey Number]])," "&amp;IndexTbl[[#This Row],[Class]],""))</f>
        <v>E BOARD</v>
      </c>
      <c r="F47" s="13" t="s">
        <v>53</v>
      </c>
      <c r="G47" s="13" t="s">
        <v>55</v>
      </c>
      <c r="H47" s="13" t="s">
        <v>250</v>
      </c>
      <c r="I47" s="14"/>
      <c r="J47" s="14" t="s">
        <v>54</v>
      </c>
      <c r="K47" s="15" t="s">
        <v>333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4" t="s">
        <v>27</v>
      </c>
      <c r="D48" s="14" t="b">
        <f>ISNUMBER(IndexTbl[[#This Row],[Class]])</f>
        <v>1</v>
      </c>
      <c r="E48" s="24" t="str">
        <f>TRIM(IndexTbl[[#This Row],[Prefix]]&amp;IF(NOT(IndexTbl[[#This Row],[Dewey Number]])," "&amp;IndexTbl[[#This Row],[Class]],""))</f>
        <v>E</v>
      </c>
      <c r="F48" s="13" t="s">
        <v>53</v>
      </c>
      <c r="G48" s="13">
        <v>999.99</v>
      </c>
      <c r="H48" s="13" t="s">
        <v>288</v>
      </c>
      <c r="I48" s="14"/>
      <c r="J48" s="14" t="s">
        <v>287</v>
      </c>
      <c r="K48" s="15" t="s">
        <v>390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4" t="s">
        <v>0</v>
      </c>
      <c r="D49" s="16" t="b">
        <f>ISNUMBER(IndexTbl[[#This Row],[Class]])</f>
        <v>1</v>
      </c>
      <c r="E49" s="24" t="str">
        <f>TRIM(IndexTbl[[#This Row],[Prefix]]&amp;IF(NOT(IndexTbl[[#This Row],[Dewey Number]])," "&amp;IndexTbl[[#This Row],[Class]],""))</f>
        <v>E</v>
      </c>
      <c r="F49" s="13" t="s">
        <v>53</v>
      </c>
      <c r="G49" s="13">
        <v>999.99</v>
      </c>
      <c r="H49" s="13"/>
      <c r="I49" s="14"/>
      <c r="J49" s="14" t="s">
        <v>296</v>
      </c>
      <c r="K49" s="15" t="s">
        <v>391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4" t="s">
        <v>41</v>
      </c>
      <c r="D50" s="16" t="b">
        <f>ISNUMBER(IndexTbl[[#This Row],[Class]])</f>
        <v>1</v>
      </c>
      <c r="E50" s="24" t="str">
        <f>TRIM(IndexTbl[[#This Row],[Prefix]]&amp;IF(NOT(IndexTbl[[#This Row],[Dewey Number]])," "&amp;IndexTbl[[#This Row],[Class]],""))</f>
        <v>E</v>
      </c>
      <c r="F50" s="13" t="s">
        <v>53</v>
      </c>
      <c r="G50" s="13">
        <v>999.99</v>
      </c>
      <c r="H50" s="13" t="s">
        <v>251</v>
      </c>
      <c r="I50" s="14"/>
      <c r="J50" s="14" t="s">
        <v>41</v>
      </c>
      <c r="K50" s="15" t="s">
        <v>390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4" t="s">
        <v>41</v>
      </c>
      <c r="D51" s="16" t="b">
        <f>ISNUMBER(IndexTbl[[#This Row],[Class]])</f>
        <v>0</v>
      </c>
      <c r="E51" s="24" t="str">
        <f>TRIM(IndexTbl[[#This Row],[Prefix]]&amp;IF(NOT(IndexTbl[[#This Row],[Dewey Number]])," "&amp;IndexTbl[[#This Row],[Class]],""))</f>
        <v>E BIO</v>
      </c>
      <c r="F51" s="13" t="s">
        <v>57</v>
      </c>
      <c r="G51" s="13" t="s">
        <v>58</v>
      </c>
      <c r="H51" s="13" t="s">
        <v>252</v>
      </c>
      <c r="I51" s="14"/>
      <c r="J51" s="14" t="s">
        <v>56</v>
      </c>
      <c r="K51" s="15" t="s">
        <v>56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4" t="s">
        <v>29</v>
      </c>
      <c r="D52" s="16" t="b">
        <f>ISNUMBER(IndexTbl[[#This Row],[Class]])</f>
        <v>0</v>
      </c>
      <c r="E52" s="24" t="str">
        <f>TRIM(IndexTbl[[#This Row],[Prefix]]&amp;IF(NOT(IndexTbl[[#This Row],[Dewey Number]])," "&amp;IndexTbl[[#This Row],[Class]],""))</f>
        <v>E CD FIC</v>
      </c>
      <c r="F52" s="13" t="s">
        <v>60</v>
      </c>
      <c r="G52" s="13" t="s">
        <v>61</v>
      </c>
      <c r="H52" s="13" t="s">
        <v>253</v>
      </c>
      <c r="I52" s="14"/>
      <c r="J52" s="14" t="s">
        <v>59</v>
      </c>
      <c r="K52" s="15" t="s">
        <v>393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4" t="s">
        <v>29</v>
      </c>
      <c r="D53" s="16" t="b">
        <f>ISNUMBER(IndexTbl[[#This Row],[Class]])</f>
        <v>1</v>
      </c>
      <c r="E53" s="24" t="str">
        <f>TRIM(IndexTbl[[#This Row],[Prefix]]&amp;IF(NOT(IndexTbl[[#This Row],[Dewey Number]])," "&amp;IndexTbl[[#This Row],[Class]],""))</f>
        <v>E CD</v>
      </c>
      <c r="F53" s="13" t="s">
        <v>60</v>
      </c>
      <c r="G53" s="13">
        <v>999.99</v>
      </c>
      <c r="H53" s="13" t="s">
        <v>254</v>
      </c>
      <c r="I53" s="14"/>
      <c r="J53" s="14" t="s">
        <v>62</v>
      </c>
      <c r="K53" s="15" t="s">
        <v>394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4" t="s">
        <v>29</v>
      </c>
      <c r="D54" s="16" t="b">
        <f>ISNUMBER(IndexTbl[[#This Row],[Class]])</f>
        <v>0</v>
      </c>
      <c r="E54" s="24" t="str">
        <f>TRIM(IndexTbl[[#This Row],[Prefix]]&amp;IF(NOT(IndexTbl[[#This Row],[Dewey Number]])," "&amp;IndexTbl[[#This Row],[Class]],""))</f>
        <v>E CD BIO</v>
      </c>
      <c r="F54" s="13" t="s">
        <v>60</v>
      </c>
      <c r="G54" s="13" t="s">
        <v>58</v>
      </c>
      <c r="H54" s="13" t="s">
        <v>255</v>
      </c>
      <c r="I54" s="14"/>
      <c r="J54" s="14" t="s">
        <v>63</v>
      </c>
      <c r="K54" s="15" t="s">
        <v>395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6" t="s">
        <v>30</v>
      </c>
      <c r="D55" s="16" t="b">
        <f>ISNUMBER(IndexTbl[[#This Row],[Class]])</f>
        <v>0</v>
      </c>
      <c r="E55" s="24" t="str">
        <f>TRIM(IndexTbl[[#This Row],[Prefix]]&amp;IF(NOT(IndexTbl[[#This Row],[Dewey Number]])," "&amp;IndexTbl[[#This Row],[Class]],""))</f>
        <v>E INTL-CHI</v>
      </c>
      <c r="F55" s="17" t="s">
        <v>69</v>
      </c>
      <c r="G55" s="17"/>
      <c r="H55" s="17" t="s">
        <v>256</v>
      </c>
      <c r="I55" s="16"/>
      <c r="J55" s="16" t="s">
        <v>68</v>
      </c>
      <c r="K55" s="15" t="s">
        <v>383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6" t="s">
        <v>30</v>
      </c>
      <c r="D56" s="16" t="b">
        <f>ISNUMBER(IndexTbl[[#This Row],[Class]])</f>
        <v>1</v>
      </c>
      <c r="E56" s="24" t="str">
        <f>TRIM(IndexTbl[[#This Row],[Prefix]]&amp;IF(NOT(IndexTbl[[#This Row],[Dewey Number]])," "&amp;IndexTbl[[#This Row],[Class]],""))</f>
        <v>E INTL-CHI</v>
      </c>
      <c r="F56" s="17" t="s">
        <v>79</v>
      </c>
      <c r="G56" s="17">
        <v>999.99</v>
      </c>
      <c r="H56" s="17" t="s">
        <v>251</v>
      </c>
      <c r="I56" s="16"/>
      <c r="J56" s="16" t="s">
        <v>78</v>
      </c>
      <c r="K56" s="15" t="s">
        <v>383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6" t="s">
        <v>30</v>
      </c>
      <c r="D57" s="16" t="b">
        <f>ISNUMBER(IndexTbl[[#This Row],[Class]])</f>
        <v>0</v>
      </c>
      <c r="E57" s="24" t="str">
        <f>TRIM(IndexTbl[[#This Row],[Prefix]]&amp;IF(NOT(IndexTbl[[#This Row],[Dewey Number]])," "&amp;IndexTbl[[#This Row],[Class]],""))</f>
        <v>J INTL-CHI</v>
      </c>
      <c r="F57" s="17" t="s">
        <v>109</v>
      </c>
      <c r="G57" s="17"/>
      <c r="H57" s="17" t="s">
        <v>257</v>
      </c>
      <c r="I57" s="16"/>
      <c r="J57" s="16" t="s">
        <v>108</v>
      </c>
      <c r="K57" s="15" t="s">
        <v>383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6" t="s">
        <v>30</v>
      </c>
      <c r="D58" s="16" t="b">
        <f>ISNUMBER(IndexTbl[[#This Row],[Class]])</f>
        <v>1</v>
      </c>
      <c r="E58" s="24" t="str">
        <f>TRIM(IndexTbl[[#This Row],[Prefix]]&amp;IF(NOT(IndexTbl[[#This Row],[Dewey Number]])," "&amp;IndexTbl[[#This Row],[Class]],""))</f>
        <v>J INTL-CHI</v>
      </c>
      <c r="F58" s="17" t="s">
        <v>109</v>
      </c>
      <c r="G58" s="17">
        <v>999.99</v>
      </c>
      <c r="H58" s="17" t="s">
        <v>251</v>
      </c>
      <c r="I58" s="16"/>
      <c r="J58" s="16" t="s">
        <v>118</v>
      </c>
      <c r="K58" s="15" t="s">
        <v>383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6" t="s">
        <v>30</v>
      </c>
      <c r="D59" s="16" t="b">
        <f>ISNUMBER(IndexTbl[[#This Row],[Class]])</f>
        <v>0</v>
      </c>
      <c r="E59" s="24" t="str">
        <f>TRIM(IndexTbl[[#This Row],[Prefix]]&amp;IF(NOT(IndexTbl[[#This Row],[Dewey Number]])," "&amp;IndexTbl[[#This Row],[Class]],""))</f>
        <v>J INTL-CHI BIO</v>
      </c>
      <c r="F59" s="17" t="s">
        <v>109</v>
      </c>
      <c r="G59" s="17" t="s">
        <v>58</v>
      </c>
      <c r="H59" s="17" t="s">
        <v>265</v>
      </c>
      <c r="I59" s="16"/>
      <c r="J59" s="16" t="s">
        <v>124</v>
      </c>
      <c r="K59" s="15" t="s">
        <v>383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6" t="s">
        <v>30</v>
      </c>
      <c r="D60" s="16" t="b">
        <f>ISNUMBER(IndexTbl[[#This Row],[Class]])</f>
        <v>0</v>
      </c>
      <c r="E60" s="24" t="str">
        <f>TRIM(IndexTbl[[#This Row],[Prefix]]&amp;IF(NOT(IndexTbl[[#This Row],[Dewey Number]])," "&amp;IndexTbl[[#This Row],[Class]],""))</f>
        <v>INTL-CHI FIC</v>
      </c>
      <c r="F60" s="17" t="s">
        <v>186</v>
      </c>
      <c r="G60" s="17" t="s">
        <v>182</v>
      </c>
      <c r="H60" s="17" t="s">
        <v>267</v>
      </c>
      <c r="I60" s="16"/>
      <c r="J60" s="16" t="s">
        <v>185</v>
      </c>
      <c r="K60" s="15" t="s">
        <v>383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6" t="s">
        <v>30</v>
      </c>
      <c r="D61" s="16" t="b">
        <f>ISNUMBER(IndexTbl[[#This Row],[Class]])</f>
        <v>1</v>
      </c>
      <c r="E61" s="24" t="str">
        <f>TRIM(IndexTbl[[#This Row],[Prefix]]&amp;IF(NOT(IndexTbl[[#This Row],[Dewey Number]])," "&amp;IndexTbl[[#This Row],[Class]],""))</f>
        <v>INTL-CHI</v>
      </c>
      <c r="F61" s="17" t="s">
        <v>186</v>
      </c>
      <c r="G61" s="17">
        <v>999.99</v>
      </c>
      <c r="H61" s="17" t="s">
        <v>268</v>
      </c>
      <c r="I61" s="16"/>
      <c r="J61" s="16" t="s">
        <v>195</v>
      </c>
      <c r="K61" s="15" t="s">
        <v>383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6" t="s">
        <v>30</v>
      </c>
      <c r="D62" s="16" t="b">
        <f>ISNUMBER(IndexTbl[[#This Row],[Class]])</f>
        <v>0</v>
      </c>
      <c r="E62" s="24" t="str">
        <f>TRIM(IndexTbl[[#This Row],[Prefix]]&amp;IF(NOT(IndexTbl[[#This Row],[Dewey Number]])," "&amp;IndexTbl[[#This Row],[Class]],""))</f>
        <v>INTL-CHI BIO</v>
      </c>
      <c r="F62" s="17" t="s">
        <v>186</v>
      </c>
      <c r="G62" s="17" t="s">
        <v>58</v>
      </c>
      <c r="H62" s="17" t="s">
        <v>265</v>
      </c>
      <c r="I62" s="16"/>
      <c r="J62" s="16" t="s">
        <v>201</v>
      </c>
      <c r="K62" s="15" t="s">
        <v>383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6" t="s">
        <v>30</v>
      </c>
      <c r="D63" s="16" t="b">
        <f>ISNUMBER(IndexTbl[[#This Row],[Class]])</f>
        <v>0</v>
      </c>
      <c r="E63" s="24" t="str">
        <f>TRIM(IndexTbl[[#This Row],[Prefix]]&amp;IF(NOT(IndexTbl[[#This Row],[Dewey Number]])," "&amp;IndexTbl[[#This Row],[Class]],""))</f>
        <v>TEEN INTL-CHI</v>
      </c>
      <c r="F63" s="17" t="s">
        <v>222</v>
      </c>
      <c r="G63" s="17"/>
      <c r="H63" s="17" t="s">
        <v>278</v>
      </c>
      <c r="I63" s="16"/>
      <c r="J63" s="16" t="s">
        <v>221</v>
      </c>
      <c r="K63" s="15" t="s">
        <v>383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6" t="s">
        <v>30</v>
      </c>
      <c r="D64" s="16" t="b">
        <f>ISNUMBER(IndexTbl[[#This Row],[Class]])</f>
        <v>1</v>
      </c>
      <c r="E64" s="24" t="str">
        <f>TRIM(IndexTbl[[#This Row],[Prefix]]&amp;IF(NOT(IndexTbl[[#This Row],[Dewey Number]])," "&amp;IndexTbl[[#This Row],[Class]],""))</f>
        <v>TEEN INTL-CHI</v>
      </c>
      <c r="F64" s="17" t="s">
        <v>222</v>
      </c>
      <c r="G64" s="17">
        <v>999.99</v>
      </c>
      <c r="H64" s="17" t="s">
        <v>279</v>
      </c>
      <c r="I64" s="16"/>
      <c r="J64" s="16" t="s">
        <v>231</v>
      </c>
      <c r="K64" s="15" t="s">
        <v>383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6" t="s">
        <v>30</v>
      </c>
      <c r="D65" s="16" t="b">
        <f>ISNUMBER(IndexTbl[[#This Row],[Class]])</f>
        <v>0</v>
      </c>
      <c r="E65" s="24" t="str">
        <f>TRIM(IndexTbl[[#This Row],[Prefix]]&amp;IF(NOT(IndexTbl[[#This Row],[Dewey Number]])," "&amp;IndexTbl[[#This Row],[Class]],""))</f>
        <v>TEEN INTL-CHI BIO</v>
      </c>
      <c r="F65" s="17" t="s">
        <v>222</v>
      </c>
      <c r="G65" s="17" t="s">
        <v>58</v>
      </c>
      <c r="H65" s="17" t="s">
        <v>265</v>
      </c>
      <c r="I65" s="16"/>
      <c r="J65" s="16" t="s">
        <v>238</v>
      </c>
      <c r="K65" s="15" t="s">
        <v>383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6" t="s">
        <v>31</v>
      </c>
      <c r="D66" s="16" t="b">
        <f>ISNUMBER(IndexTbl[[#This Row],[Class]])</f>
        <v>0</v>
      </c>
      <c r="E66" s="24" t="str">
        <f>TRIM(IndexTbl[[#This Row],[Prefix]]&amp;IF(NOT(IndexTbl[[#This Row],[Dewey Number]])," "&amp;IndexTbl[[#This Row],[Class]],""))</f>
        <v>E INTL-KOR</v>
      </c>
      <c r="F66" s="17" t="s">
        <v>65</v>
      </c>
      <c r="G66" s="17"/>
      <c r="H66" s="17" t="s">
        <v>256</v>
      </c>
      <c r="I66" s="16"/>
      <c r="J66" s="16" t="s">
        <v>64</v>
      </c>
      <c r="K66" s="15" t="s">
        <v>385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6" t="s">
        <v>31</v>
      </c>
      <c r="D67" s="16" t="b">
        <f>ISNUMBER(IndexTbl[[#This Row],[Class]])</f>
        <v>1</v>
      </c>
      <c r="E67" s="24" t="str">
        <f>TRIM(IndexTbl[[#This Row],[Prefix]]&amp;IF(NOT(IndexTbl[[#This Row],[Dewey Number]])," "&amp;IndexTbl[[#This Row],[Class]],""))</f>
        <v>E INTL-KOR</v>
      </c>
      <c r="F67" s="17" t="s">
        <v>65</v>
      </c>
      <c r="G67" s="17">
        <v>999.99</v>
      </c>
      <c r="H67" s="17" t="s">
        <v>251</v>
      </c>
      <c r="I67" s="16"/>
      <c r="J67" s="16" t="s">
        <v>76</v>
      </c>
      <c r="K67" s="15" t="s">
        <v>385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6" t="s">
        <v>31</v>
      </c>
      <c r="D68" s="16" t="b">
        <f>ISNUMBER(IndexTbl[[#This Row],[Class]])</f>
        <v>0</v>
      </c>
      <c r="E68" s="24" t="str">
        <f>TRIM(IndexTbl[[#This Row],[Prefix]]&amp;IF(NOT(IndexTbl[[#This Row],[Dewey Number]])," "&amp;IndexTbl[[#This Row],[Class]],""))</f>
        <v>J INTL-KOR</v>
      </c>
      <c r="F68" s="17" t="s">
        <v>105</v>
      </c>
      <c r="G68" s="17"/>
      <c r="H68" s="17" t="s">
        <v>257</v>
      </c>
      <c r="I68" s="16"/>
      <c r="J68" s="16" t="s">
        <v>104</v>
      </c>
      <c r="K68" s="15" t="s">
        <v>385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6" t="s">
        <v>31</v>
      </c>
      <c r="D69" s="16" t="b">
        <f>ISNUMBER(IndexTbl[[#This Row],[Class]])</f>
        <v>1</v>
      </c>
      <c r="E69" s="24" t="str">
        <f>TRIM(IndexTbl[[#This Row],[Prefix]]&amp;IF(NOT(IndexTbl[[#This Row],[Dewey Number]])," "&amp;IndexTbl[[#This Row],[Class]],""))</f>
        <v>J INTL-KOR</v>
      </c>
      <c r="F69" s="17" t="s">
        <v>105</v>
      </c>
      <c r="G69" s="17">
        <v>999.99</v>
      </c>
      <c r="H69" s="17" t="s">
        <v>251</v>
      </c>
      <c r="I69" s="16"/>
      <c r="J69" s="16" t="s">
        <v>116</v>
      </c>
      <c r="K69" s="15" t="s">
        <v>385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6" t="s">
        <v>31</v>
      </c>
      <c r="D70" s="16" t="b">
        <f>ISNUMBER(IndexTbl[[#This Row],[Class]])</f>
        <v>0</v>
      </c>
      <c r="E70" s="24" t="str">
        <f>TRIM(IndexTbl[[#This Row],[Prefix]]&amp;IF(NOT(IndexTbl[[#This Row],[Dewey Number]])," "&amp;IndexTbl[[#This Row],[Class]],""))</f>
        <v>J INTL-KOR BIO</v>
      </c>
      <c r="F70" s="17" t="s">
        <v>105</v>
      </c>
      <c r="G70" s="17" t="s">
        <v>58</v>
      </c>
      <c r="H70" s="17" t="s">
        <v>265</v>
      </c>
      <c r="I70" s="16"/>
      <c r="J70" s="16" t="s">
        <v>122</v>
      </c>
      <c r="K70" s="15" t="s">
        <v>385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6" t="s">
        <v>31</v>
      </c>
      <c r="D71" s="16" t="b">
        <f>ISNUMBER(IndexTbl[[#This Row],[Class]])</f>
        <v>0</v>
      </c>
      <c r="E71" s="24" t="str">
        <f>TRIM(IndexTbl[[#This Row],[Prefix]]&amp;IF(NOT(IndexTbl[[#This Row],[Dewey Number]])," "&amp;IndexTbl[[#This Row],[Class]],""))</f>
        <v>INTL-KOR FIC</v>
      </c>
      <c r="F71" s="17" t="s">
        <v>181</v>
      </c>
      <c r="G71" s="17" t="s">
        <v>182</v>
      </c>
      <c r="H71" s="17" t="s">
        <v>267</v>
      </c>
      <c r="I71" s="16"/>
      <c r="J71" s="16" t="s">
        <v>180</v>
      </c>
      <c r="K71" s="15" t="s">
        <v>385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6" t="s">
        <v>31</v>
      </c>
      <c r="D72" s="16" t="b">
        <f>ISNUMBER(IndexTbl[[#This Row],[Class]])</f>
        <v>1</v>
      </c>
      <c r="E72" s="24" t="str">
        <f>TRIM(IndexTbl[[#This Row],[Prefix]]&amp;IF(NOT(IndexTbl[[#This Row],[Dewey Number]])," "&amp;IndexTbl[[#This Row],[Class]],""))</f>
        <v>INTL-KOR</v>
      </c>
      <c r="F72" s="17" t="s">
        <v>181</v>
      </c>
      <c r="G72" s="17">
        <v>999.99</v>
      </c>
      <c r="H72" s="17" t="s">
        <v>268</v>
      </c>
      <c r="I72" s="16"/>
      <c r="J72" s="16" t="s">
        <v>193</v>
      </c>
      <c r="K72" s="15" t="s">
        <v>385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6" t="s">
        <v>31</v>
      </c>
      <c r="D73" s="16" t="b">
        <f>ISNUMBER(IndexTbl[[#This Row],[Class]])</f>
        <v>0</v>
      </c>
      <c r="E73" s="24" t="str">
        <f>TRIM(IndexTbl[[#This Row],[Prefix]]&amp;IF(NOT(IndexTbl[[#This Row],[Dewey Number]])," "&amp;IndexTbl[[#This Row],[Class]],""))</f>
        <v>INTL-KOR BIO</v>
      </c>
      <c r="F73" s="17" t="s">
        <v>181</v>
      </c>
      <c r="G73" s="17" t="s">
        <v>58</v>
      </c>
      <c r="H73" s="17" t="s">
        <v>265</v>
      </c>
      <c r="I73" s="16"/>
      <c r="J73" s="16" t="s">
        <v>199</v>
      </c>
      <c r="K73" s="15" t="s">
        <v>385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6" t="s">
        <v>31</v>
      </c>
      <c r="D74" s="16" t="b">
        <f>ISNUMBER(IndexTbl[[#This Row],[Class]])</f>
        <v>0</v>
      </c>
      <c r="E74" s="24" t="str">
        <f>TRIM(IndexTbl[[#This Row],[Prefix]]&amp;IF(NOT(IndexTbl[[#This Row],[Dewey Number]])," "&amp;IndexTbl[[#This Row],[Class]],""))</f>
        <v>TEEN INTL-KOR</v>
      </c>
      <c r="F74" s="17" t="s">
        <v>218</v>
      </c>
      <c r="G74" s="17"/>
      <c r="H74" s="17" t="s">
        <v>278</v>
      </c>
      <c r="I74" s="16"/>
      <c r="J74" s="16" t="s">
        <v>217</v>
      </c>
      <c r="K74" s="15" t="s">
        <v>385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6" t="s">
        <v>31</v>
      </c>
      <c r="D75" s="16" t="b">
        <f>ISNUMBER(IndexTbl[[#This Row],[Class]])</f>
        <v>1</v>
      </c>
      <c r="E75" s="24" t="str">
        <f>TRIM(IndexTbl[[#This Row],[Prefix]]&amp;IF(NOT(IndexTbl[[#This Row],[Dewey Number]])," "&amp;IndexTbl[[#This Row],[Class]],""))</f>
        <v>TEEN INTL-KOR</v>
      </c>
      <c r="F75" s="17" t="s">
        <v>218</v>
      </c>
      <c r="G75" s="17">
        <v>999.99</v>
      </c>
      <c r="H75" s="17" t="s">
        <v>279</v>
      </c>
      <c r="I75" s="16"/>
      <c r="J75" s="16" t="s">
        <v>229</v>
      </c>
      <c r="K75" s="15" t="s">
        <v>385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6" t="s">
        <v>31</v>
      </c>
      <c r="D76" s="16" t="b">
        <f>ISNUMBER(IndexTbl[[#This Row],[Class]])</f>
        <v>0</v>
      </c>
      <c r="E76" s="24" t="str">
        <f>TRIM(IndexTbl[[#This Row],[Prefix]]&amp;IF(NOT(IndexTbl[[#This Row],[Dewey Number]])," "&amp;IndexTbl[[#This Row],[Class]],""))</f>
        <v>TEEN INTL-KOR BIO</v>
      </c>
      <c r="F76" s="17" t="s">
        <v>236</v>
      </c>
      <c r="G76" s="17" t="s">
        <v>58</v>
      </c>
      <c r="H76" s="17" t="s">
        <v>265</v>
      </c>
      <c r="I76" s="16"/>
      <c r="J76" s="16" t="s">
        <v>235</v>
      </c>
      <c r="K76" s="15" t="s">
        <v>385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6" t="s">
        <v>32</v>
      </c>
      <c r="D77" s="16" t="b">
        <f>ISNUMBER(IndexTbl[[#This Row],[Class]])</f>
        <v>0</v>
      </c>
      <c r="E77" s="24" t="str">
        <f>TRIM(IndexTbl[[#This Row],[Prefix]]&amp;IF(NOT(IndexTbl[[#This Row],[Dewey Number]])," "&amp;IndexTbl[[#This Row],[Class]],""))</f>
        <v>E INTL-JPN</v>
      </c>
      <c r="F77" s="17" t="s">
        <v>67</v>
      </c>
      <c r="G77" s="17"/>
      <c r="H77" s="17" t="s">
        <v>256</v>
      </c>
      <c r="I77" s="16"/>
      <c r="J77" s="16" t="s">
        <v>66</v>
      </c>
      <c r="K77" s="15" t="s">
        <v>384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6" t="s">
        <v>32</v>
      </c>
      <c r="D78" s="16" t="b">
        <f>ISNUMBER(IndexTbl[[#This Row],[Class]])</f>
        <v>1</v>
      </c>
      <c r="E78" s="24" t="str">
        <f>TRIM(IndexTbl[[#This Row],[Prefix]]&amp;IF(NOT(IndexTbl[[#This Row],[Dewey Number]])," "&amp;IndexTbl[[#This Row],[Class]],""))</f>
        <v>E INTL-JPN</v>
      </c>
      <c r="F78" s="17" t="s">
        <v>67</v>
      </c>
      <c r="G78" s="17">
        <v>999.99</v>
      </c>
      <c r="H78" s="17" t="s">
        <v>251</v>
      </c>
      <c r="I78" s="16"/>
      <c r="J78" s="16" t="s">
        <v>77</v>
      </c>
      <c r="K78" s="15" t="s">
        <v>384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6" t="s">
        <v>32</v>
      </c>
      <c r="D79" s="16" t="b">
        <f>ISNUMBER(IndexTbl[[#This Row],[Class]])</f>
        <v>0</v>
      </c>
      <c r="E79" s="24" t="str">
        <f>TRIM(IndexTbl[[#This Row],[Prefix]]&amp;IF(NOT(IndexTbl[[#This Row],[Dewey Number]])," "&amp;IndexTbl[[#This Row],[Class]],""))</f>
        <v>J INTL-JPN</v>
      </c>
      <c r="F79" s="17" t="s">
        <v>107</v>
      </c>
      <c r="G79" s="17"/>
      <c r="H79" s="17" t="s">
        <v>257</v>
      </c>
      <c r="I79" s="16"/>
      <c r="J79" s="16" t="s">
        <v>106</v>
      </c>
      <c r="K79" s="15" t="s">
        <v>384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6" t="s">
        <v>32</v>
      </c>
      <c r="D80" s="16" t="b">
        <f>ISNUMBER(IndexTbl[[#This Row],[Class]])</f>
        <v>1</v>
      </c>
      <c r="E80" s="24" t="str">
        <f>TRIM(IndexTbl[[#This Row],[Prefix]]&amp;IF(NOT(IndexTbl[[#This Row],[Dewey Number]])," "&amp;IndexTbl[[#This Row],[Class]],""))</f>
        <v>J INTL-JPN</v>
      </c>
      <c r="F80" s="17" t="s">
        <v>107</v>
      </c>
      <c r="G80" s="17">
        <v>999.99</v>
      </c>
      <c r="H80" s="17" t="s">
        <v>251</v>
      </c>
      <c r="I80" s="16"/>
      <c r="J80" s="16" t="s">
        <v>117</v>
      </c>
      <c r="K80" s="15" t="s">
        <v>384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6" t="s">
        <v>32</v>
      </c>
      <c r="D81" s="16" t="b">
        <f>ISNUMBER(IndexTbl[[#This Row],[Class]])</f>
        <v>0</v>
      </c>
      <c r="E81" s="24" t="str">
        <f>TRIM(IndexTbl[[#This Row],[Prefix]]&amp;IF(NOT(IndexTbl[[#This Row],[Dewey Number]])," "&amp;IndexTbl[[#This Row],[Class]],""))</f>
        <v>J INTL-JPN BIO</v>
      </c>
      <c r="F81" s="17" t="s">
        <v>107</v>
      </c>
      <c r="G81" s="17" t="s">
        <v>58</v>
      </c>
      <c r="H81" s="17" t="s">
        <v>265</v>
      </c>
      <c r="I81" s="16"/>
      <c r="J81" s="16" t="s">
        <v>123</v>
      </c>
      <c r="K81" s="15" t="s">
        <v>384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6" t="s">
        <v>32</v>
      </c>
      <c r="D82" s="16" t="b">
        <f>ISNUMBER(IndexTbl[[#This Row],[Class]])</f>
        <v>0</v>
      </c>
      <c r="E82" s="24" t="str">
        <f>TRIM(IndexTbl[[#This Row],[Prefix]]&amp;IF(NOT(IndexTbl[[#This Row],[Dewey Number]])," "&amp;IndexTbl[[#This Row],[Class]],""))</f>
        <v>INTL-JPN FIC</v>
      </c>
      <c r="F82" s="17" t="s">
        <v>184</v>
      </c>
      <c r="G82" s="17" t="s">
        <v>182</v>
      </c>
      <c r="H82" s="17" t="s">
        <v>267</v>
      </c>
      <c r="I82" s="16"/>
      <c r="J82" s="16" t="s">
        <v>183</v>
      </c>
      <c r="K82" s="15" t="s">
        <v>384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6" t="s">
        <v>32</v>
      </c>
      <c r="D83" s="16" t="b">
        <f>ISNUMBER(IndexTbl[[#This Row],[Class]])</f>
        <v>1</v>
      </c>
      <c r="E83" s="24" t="str">
        <f>TRIM(IndexTbl[[#This Row],[Prefix]]&amp;IF(NOT(IndexTbl[[#This Row],[Dewey Number]])," "&amp;IndexTbl[[#This Row],[Class]],""))</f>
        <v>INTL-JPN</v>
      </c>
      <c r="F83" s="17" t="s">
        <v>184</v>
      </c>
      <c r="G83" s="17">
        <v>999.99</v>
      </c>
      <c r="H83" s="17" t="s">
        <v>268</v>
      </c>
      <c r="I83" s="16"/>
      <c r="J83" s="16" t="s">
        <v>194</v>
      </c>
      <c r="K83" s="15" t="s">
        <v>384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6" t="s">
        <v>32</v>
      </c>
      <c r="D84" s="16" t="b">
        <f>ISNUMBER(IndexTbl[[#This Row],[Class]])</f>
        <v>0</v>
      </c>
      <c r="E84" s="24" t="str">
        <f>TRIM(IndexTbl[[#This Row],[Prefix]]&amp;IF(NOT(IndexTbl[[#This Row],[Dewey Number]])," "&amp;IndexTbl[[#This Row],[Class]],""))</f>
        <v>INTL-JPN BIO</v>
      </c>
      <c r="F84" s="17" t="s">
        <v>184</v>
      </c>
      <c r="G84" s="17" t="s">
        <v>58</v>
      </c>
      <c r="H84" s="17" t="s">
        <v>265</v>
      </c>
      <c r="I84" s="16"/>
      <c r="J84" s="16" t="s">
        <v>200</v>
      </c>
      <c r="K84" s="15" t="s">
        <v>384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6" t="s">
        <v>32</v>
      </c>
      <c r="D85" s="16" t="b">
        <f>ISNUMBER(IndexTbl[[#This Row],[Class]])</f>
        <v>0</v>
      </c>
      <c r="E85" s="24" t="str">
        <f>TRIM(IndexTbl[[#This Row],[Prefix]]&amp;IF(NOT(IndexTbl[[#This Row],[Dewey Number]])," "&amp;IndexTbl[[#This Row],[Class]],""))</f>
        <v>TEEN INTL-JPN</v>
      </c>
      <c r="F85" s="17" t="s">
        <v>220</v>
      </c>
      <c r="G85" s="17"/>
      <c r="H85" s="17" t="s">
        <v>278</v>
      </c>
      <c r="I85" s="16"/>
      <c r="J85" s="16" t="s">
        <v>219</v>
      </c>
      <c r="K85" s="15" t="s">
        <v>384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6" t="s">
        <v>32</v>
      </c>
      <c r="D86" s="16" t="b">
        <f>ISNUMBER(IndexTbl[[#This Row],[Class]])</f>
        <v>1</v>
      </c>
      <c r="E86" s="24" t="str">
        <f>TRIM(IndexTbl[[#This Row],[Prefix]]&amp;IF(NOT(IndexTbl[[#This Row],[Dewey Number]])," "&amp;IndexTbl[[#This Row],[Class]],""))</f>
        <v>TEEN INTL-JPN</v>
      </c>
      <c r="F86" s="17" t="s">
        <v>220</v>
      </c>
      <c r="G86" s="17">
        <v>999.99</v>
      </c>
      <c r="H86" s="17" t="s">
        <v>279</v>
      </c>
      <c r="I86" s="16"/>
      <c r="J86" s="16" t="s">
        <v>230</v>
      </c>
      <c r="K86" s="15" t="s">
        <v>384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6" t="s">
        <v>32</v>
      </c>
      <c r="D87" s="16" t="b">
        <f>ISNUMBER(IndexTbl[[#This Row],[Class]])</f>
        <v>0</v>
      </c>
      <c r="E87" s="24" t="str">
        <f>TRIM(IndexTbl[[#This Row],[Prefix]]&amp;IF(NOT(IndexTbl[[#This Row],[Dewey Number]])," "&amp;IndexTbl[[#This Row],[Class]],""))</f>
        <v>TEEN INTL-JPN BIO</v>
      </c>
      <c r="F87" s="17" t="s">
        <v>220</v>
      </c>
      <c r="G87" s="17" t="s">
        <v>58</v>
      </c>
      <c r="H87" s="17" t="s">
        <v>265</v>
      </c>
      <c r="I87" s="16"/>
      <c r="J87" s="16" t="s">
        <v>237</v>
      </c>
      <c r="K87" s="15" t="s">
        <v>384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6" t="s">
        <v>38</v>
      </c>
      <c r="D88" s="16" t="b">
        <f>ISNUMBER(IndexTbl[[#This Row],[Class]])</f>
        <v>0</v>
      </c>
      <c r="E88" s="24" t="str">
        <f>TRIM(IndexTbl[[#This Row],[Prefix]]&amp;IF(NOT(IndexTbl[[#This Row],[Dewey Number]])," "&amp;IndexTbl[[#This Row],[Class]],""))</f>
        <v>E INTL-RUS</v>
      </c>
      <c r="F88" s="17" t="s">
        <v>71</v>
      </c>
      <c r="G88" s="17"/>
      <c r="H88" s="17" t="s">
        <v>256</v>
      </c>
      <c r="I88" s="16"/>
      <c r="J88" s="16" t="s">
        <v>70</v>
      </c>
      <c r="K88" s="15" t="s">
        <v>386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6" t="s">
        <v>38</v>
      </c>
      <c r="D89" s="16" t="b">
        <f>ISNUMBER(IndexTbl[[#This Row],[Class]])</f>
        <v>1</v>
      </c>
      <c r="E89" s="24" t="str">
        <f>TRIM(IndexTbl[[#This Row],[Prefix]]&amp;IF(NOT(IndexTbl[[#This Row],[Dewey Number]])," "&amp;IndexTbl[[#This Row],[Class]],""))</f>
        <v>E INTL-RUS</v>
      </c>
      <c r="F89" s="17" t="s">
        <v>81</v>
      </c>
      <c r="G89" s="17">
        <v>999.99</v>
      </c>
      <c r="H89" s="17" t="s">
        <v>251</v>
      </c>
      <c r="I89" s="16"/>
      <c r="J89" s="16" t="s">
        <v>80</v>
      </c>
      <c r="K89" s="15" t="s">
        <v>386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6" t="s">
        <v>38</v>
      </c>
      <c r="D90" s="16" t="b">
        <f>ISNUMBER(IndexTbl[[#This Row],[Class]])</f>
        <v>0</v>
      </c>
      <c r="E90" s="24" t="str">
        <f>TRIM(IndexTbl[[#This Row],[Prefix]]&amp;IF(NOT(IndexTbl[[#This Row],[Dewey Number]])," "&amp;IndexTbl[[#This Row],[Class]],""))</f>
        <v>J INTL-RUS</v>
      </c>
      <c r="F90" s="17" t="s">
        <v>111</v>
      </c>
      <c r="G90" s="17"/>
      <c r="H90" s="17" t="s">
        <v>257</v>
      </c>
      <c r="I90" s="16"/>
      <c r="J90" s="16" t="s">
        <v>110</v>
      </c>
      <c r="K90" s="15" t="s">
        <v>386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6" t="s">
        <v>38</v>
      </c>
      <c r="D91" s="16" t="b">
        <f>ISNUMBER(IndexTbl[[#This Row],[Class]])</f>
        <v>1</v>
      </c>
      <c r="E91" s="24" t="str">
        <f>TRIM(IndexTbl[[#This Row],[Prefix]]&amp;IF(NOT(IndexTbl[[#This Row],[Dewey Number]])," "&amp;IndexTbl[[#This Row],[Class]],""))</f>
        <v>J INTL-RUS</v>
      </c>
      <c r="F91" s="17" t="s">
        <v>111</v>
      </c>
      <c r="G91" s="17">
        <v>999.99</v>
      </c>
      <c r="H91" s="17" t="s">
        <v>251</v>
      </c>
      <c r="I91" s="16"/>
      <c r="J91" s="16" t="s">
        <v>119</v>
      </c>
      <c r="K91" s="15" t="s">
        <v>386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6" t="s">
        <v>38</v>
      </c>
      <c r="D92" s="16" t="b">
        <f>ISNUMBER(IndexTbl[[#This Row],[Class]])</f>
        <v>0</v>
      </c>
      <c r="E92" s="24" t="str">
        <f>TRIM(IndexTbl[[#This Row],[Prefix]]&amp;IF(NOT(IndexTbl[[#This Row],[Dewey Number]])," "&amp;IndexTbl[[#This Row],[Class]],""))</f>
        <v>J INTL-RUS BIO</v>
      </c>
      <c r="F92" s="17" t="s">
        <v>111</v>
      </c>
      <c r="G92" s="17" t="s">
        <v>58</v>
      </c>
      <c r="H92" s="17" t="s">
        <v>265</v>
      </c>
      <c r="I92" s="16"/>
      <c r="J92" s="16" t="s">
        <v>125</v>
      </c>
      <c r="K92" s="15" t="s">
        <v>386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6" t="s">
        <v>38</v>
      </c>
      <c r="D93" s="16" t="b">
        <f>ISNUMBER(IndexTbl[[#This Row],[Class]])</f>
        <v>0</v>
      </c>
      <c r="E93" s="24" t="str">
        <f>TRIM(IndexTbl[[#This Row],[Prefix]]&amp;IF(NOT(IndexTbl[[#This Row],[Dewey Number]])," "&amp;IndexTbl[[#This Row],[Class]],""))</f>
        <v>INTL-RUS FIC</v>
      </c>
      <c r="F93" s="17" t="s">
        <v>188</v>
      </c>
      <c r="G93" s="17" t="s">
        <v>182</v>
      </c>
      <c r="H93" s="17" t="s">
        <v>267</v>
      </c>
      <c r="I93" s="16"/>
      <c r="J93" s="16" t="s">
        <v>187</v>
      </c>
      <c r="K93" s="15" t="s">
        <v>386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6" t="s">
        <v>38</v>
      </c>
      <c r="D94" s="16" t="b">
        <f>ISNUMBER(IndexTbl[[#This Row],[Class]])</f>
        <v>1</v>
      </c>
      <c r="E94" s="24" t="str">
        <f>TRIM(IndexTbl[[#This Row],[Prefix]]&amp;IF(NOT(IndexTbl[[#This Row],[Dewey Number]])," "&amp;IndexTbl[[#This Row],[Class]],""))</f>
        <v>INTL-RUS</v>
      </c>
      <c r="F94" s="17" t="s">
        <v>188</v>
      </c>
      <c r="G94" s="17">
        <v>999.99</v>
      </c>
      <c r="H94" s="17" t="s">
        <v>268</v>
      </c>
      <c r="I94" s="16"/>
      <c r="J94" s="16" t="s">
        <v>196</v>
      </c>
      <c r="K94" s="15" t="s">
        <v>386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6" t="s">
        <v>38</v>
      </c>
      <c r="D95" s="16" t="b">
        <f>ISNUMBER(IndexTbl[[#This Row],[Class]])</f>
        <v>0</v>
      </c>
      <c r="E95" s="24" t="str">
        <f>TRIM(IndexTbl[[#This Row],[Prefix]]&amp;IF(NOT(IndexTbl[[#This Row],[Dewey Number]])," "&amp;IndexTbl[[#This Row],[Class]],""))</f>
        <v>INTL-RUS BIO</v>
      </c>
      <c r="F95" s="17" t="s">
        <v>188</v>
      </c>
      <c r="G95" s="17" t="s">
        <v>58</v>
      </c>
      <c r="H95" s="17" t="s">
        <v>265</v>
      </c>
      <c r="I95" s="16"/>
      <c r="J95" s="16" t="s">
        <v>202</v>
      </c>
      <c r="K95" s="15" t="s">
        <v>386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6" t="s">
        <v>38</v>
      </c>
      <c r="D96" s="16" t="b">
        <f>ISNUMBER(IndexTbl[[#This Row],[Class]])</f>
        <v>0</v>
      </c>
      <c r="E96" s="24" t="str">
        <f>TRIM(IndexTbl[[#This Row],[Prefix]]&amp;IF(NOT(IndexTbl[[#This Row],[Dewey Number]])," "&amp;IndexTbl[[#This Row],[Class]],""))</f>
        <v>TEEN INTL-RUS</v>
      </c>
      <c r="F96" s="17" t="s">
        <v>224</v>
      </c>
      <c r="G96" s="17"/>
      <c r="H96" s="17" t="s">
        <v>278</v>
      </c>
      <c r="I96" s="16"/>
      <c r="J96" s="16" t="s">
        <v>223</v>
      </c>
      <c r="K96" s="15" t="s">
        <v>386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6" t="s">
        <v>38</v>
      </c>
      <c r="D97" s="16" t="b">
        <f>ISNUMBER(IndexTbl[[#This Row],[Class]])</f>
        <v>1</v>
      </c>
      <c r="E97" s="24" t="str">
        <f>TRIM(IndexTbl[[#This Row],[Prefix]]&amp;IF(NOT(IndexTbl[[#This Row],[Dewey Number]])," "&amp;IndexTbl[[#This Row],[Class]],""))</f>
        <v>TEEN INTL-RUS</v>
      </c>
      <c r="F97" s="17" t="s">
        <v>224</v>
      </c>
      <c r="G97" s="17">
        <v>999.99</v>
      </c>
      <c r="H97" s="17" t="s">
        <v>279</v>
      </c>
      <c r="I97" s="16"/>
      <c r="J97" s="16" t="s">
        <v>232</v>
      </c>
      <c r="K97" s="15" t="s">
        <v>386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6" t="s">
        <v>38</v>
      </c>
      <c r="D98" s="16" t="b">
        <f>ISNUMBER(IndexTbl[[#This Row],[Class]])</f>
        <v>0</v>
      </c>
      <c r="E98" s="24" t="str">
        <f>TRIM(IndexTbl[[#This Row],[Prefix]]&amp;IF(NOT(IndexTbl[[#This Row],[Dewey Number]])," "&amp;IndexTbl[[#This Row],[Class]],""))</f>
        <v>TEEN INTL-RUS BIO</v>
      </c>
      <c r="F98" s="17" t="s">
        <v>224</v>
      </c>
      <c r="G98" s="17" t="s">
        <v>58</v>
      </c>
      <c r="H98" s="17" t="s">
        <v>265</v>
      </c>
      <c r="I98" s="16"/>
      <c r="J98" s="16" t="s">
        <v>239</v>
      </c>
      <c r="K98" s="15" t="s">
        <v>386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6" t="s">
        <v>33</v>
      </c>
      <c r="D99" s="16" t="b">
        <f>ISNUMBER(IndexTbl[[#This Row],[Class]])</f>
        <v>0</v>
      </c>
      <c r="E99" s="24" t="str">
        <f>TRIM(IndexTbl[[#This Row],[Prefix]]&amp;IF(NOT(IndexTbl[[#This Row],[Dewey Number]])," "&amp;IndexTbl[[#This Row],[Class]],""))</f>
        <v>E INTL-SPA</v>
      </c>
      <c r="F99" s="17" t="s">
        <v>73</v>
      </c>
      <c r="G99" s="17"/>
      <c r="H99" s="17" t="s">
        <v>256</v>
      </c>
      <c r="I99" s="16"/>
      <c r="J99" s="16" t="s">
        <v>72</v>
      </c>
      <c r="K99" s="15" t="s">
        <v>387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6" t="s">
        <v>33</v>
      </c>
      <c r="D100" s="16" t="b">
        <f>ISNUMBER(IndexTbl[[#This Row],[Class]])</f>
        <v>1</v>
      </c>
      <c r="E100" s="24" t="str">
        <f>TRIM(IndexTbl[[#This Row],[Prefix]]&amp;IF(NOT(IndexTbl[[#This Row],[Dewey Number]])," "&amp;IndexTbl[[#This Row],[Class]],""))</f>
        <v>E INTL-SPA</v>
      </c>
      <c r="F100" s="17" t="s">
        <v>83</v>
      </c>
      <c r="G100" s="17">
        <v>999.99</v>
      </c>
      <c r="H100" s="17" t="s">
        <v>251</v>
      </c>
      <c r="I100" s="16"/>
      <c r="J100" s="16" t="s">
        <v>82</v>
      </c>
      <c r="K100" s="15" t="s">
        <v>387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6" t="s">
        <v>33</v>
      </c>
      <c r="D101" s="16" t="b">
        <f>ISNUMBER(IndexTbl[[#This Row],[Class]])</f>
        <v>0</v>
      </c>
      <c r="E101" s="24" t="str">
        <f>TRIM(IndexTbl[[#This Row],[Prefix]]&amp;IF(NOT(IndexTbl[[#This Row],[Dewey Number]])," "&amp;IndexTbl[[#This Row],[Class]],""))</f>
        <v>J INTL-SPA</v>
      </c>
      <c r="F101" s="17" t="s">
        <v>113</v>
      </c>
      <c r="G101" s="17"/>
      <c r="H101" s="17" t="s">
        <v>257</v>
      </c>
      <c r="I101" s="16"/>
      <c r="J101" s="16" t="s">
        <v>112</v>
      </c>
      <c r="K101" s="15" t="s">
        <v>387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6" t="s">
        <v>33</v>
      </c>
      <c r="D102" s="16" t="b">
        <f>ISNUMBER(IndexTbl[[#This Row],[Class]])</f>
        <v>1</v>
      </c>
      <c r="E102" s="24" t="str">
        <f>TRIM(IndexTbl[[#This Row],[Prefix]]&amp;IF(NOT(IndexTbl[[#This Row],[Dewey Number]])," "&amp;IndexTbl[[#This Row],[Class]],""))</f>
        <v>J INTL-SPA</v>
      </c>
      <c r="F102" s="17" t="s">
        <v>113</v>
      </c>
      <c r="G102" s="17">
        <v>999.99</v>
      </c>
      <c r="H102" s="17" t="s">
        <v>251</v>
      </c>
      <c r="I102" s="16"/>
      <c r="J102" s="16" t="s">
        <v>120</v>
      </c>
      <c r="K102" s="15" t="s">
        <v>387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6" t="s">
        <v>33</v>
      </c>
      <c r="D103" s="16" t="b">
        <f>ISNUMBER(IndexTbl[[#This Row],[Class]])</f>
        <v>0</v>
      </c>
      <c r="E103" s="24" t="str">
        <f>TRIM(IndexTbl[[#This Row],[Prefix]]&amp;IF(NOT(IndexTbl[[#This Row],[Dewey Number]])," "&amp;IndexTbl[[#This Row],[Class]],""))</f>
        <v>J INTL-SPA BIO</v>
      </c>
      <c r="F103" s="17" t="s">
        <v>113</v>
      </c>
      <c r="G103" s="17" t="s">
        <v>58</v>
      </c>
      <c r="H103" s="17" t="s">
        <v>265</v>
      </c>
      <c r="I103" s="16"/>
      <c r="J103" s="16" t="s">
        <v>126</v>
      </c>
      <c r="K103" s="15" t="s">
        <v>387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6" t="s">
        <v>33</v>
      </c>
      <c r="D104" s="14" t="b">
        <f>ISNUMBER(IndexTbl[[#This Row],[Class]])</f>
        <v>0</v>
      </c>
      <c r="E104" s="24" t="str">
        <f>TRIM(IndexTbl[[#This Row],[Prefix]]&amp;IF(NOT(IndexTbl[[#This Row],[Dewey Number]])," "&amp;IndexTbl[[#This Row],[Class]],""))</f>
        <v>INTL-SPA FIC</v>
      </c>
      <c r="F104" s="17" t="s">
        <v>190</v>
      </c>
      <c r="G104" s="17" t="s">
        <v>182</v>
      </c>
      <c r="H104" s="17" t="s">
        <v>267</v>
      </c>
      <c r="I104" s="16"/>
      <c r="J104" s="16" t="s">
        <v>189</v>
      </c>
      <c r="K104" s="15" t="s">
        <v>387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6" t="s">
        <v>33</v>
      </c>
      <c r="D105" s="14" t="b">
        <f>ISNUMBER(IndexTbl[[#This Row],[Class]])</f>
        <v>1</v>
      </c>
      <c r="E105" s="24" t="str">
        <f>TRIM(IndexTbl[[#This Row],[Prefix]]&amp;IF(NOT(IndexTbl[[#This Row],[Dewey Number]])," "&amp;IndexTbl[[#This Row],[Class]],""))</f>
        <v>INTL-SPA</v>
      </c>
      <c r="F105" s="17" t="s">
        <v>190</v>
      </c>
      <c r="G105" s="17">
        <v>999.99</v>
      </c>
      <c r="H105" s="17" t="s">
        <v>268</v>
      </c>
      <c r="I105" s="16"/>
      <c r="J105" s="16" t="s">
        <v>197</v>
      </c>
      <c r="K105" s="15" t="s">
        <v>387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6" t="s">
        <v>33</v>
      </c>
      <c r="D106" s="14" t="b">
        <f>ISNUMBER(IndexTbl[[#This Row],[Class]])</f>
        <v>0</v>
      </c>
      <c r="E106" s="24" t="str">
        <f>TRIM(IndexTbl[[#This Row],[Prefix]]&amp;IF(NOT(IndexTbl[[#This Row],[Dewey Number]])," "&amp;IndexTbl[[#This Row],[Class]],""))</f>
        <v>INTL-SPA BIO</v>
      </c>
      <c r="F106" s="17" t="s">
        <v>190</v>
      </c>
      <c r="G106" s="17" t="s">
        <v>58</v>
      </c>
      <c r="H106" s="17" t="s">
        <v>265</v>
      </c>
      <c r="I106" s="16"/>
      <c r="J106" s="16" t="s">
        <v>203</v>
      </c>
      <c r="K106" s="15" t="s">
        <v>387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6" t="s">
        <v>33</v>
      </c>
      <c r="D107" s="14" t="b">
        <f>ISNUMBER(IndexTbl[[#This Row],[Class]])</f>
        <v>0</v>
      </c>
      <c r="E107" s="24" t="str">
        <f>TRIM(IndexTbl[[#This Row],[Prefix]]&amp;IF(NOT(IndexTbl[[#This Row],[Dewey Number]])," "&amp;IndexTbl[[#This Row],[Class]],""))</f>
        <v>TEEN INTL-SPA</v>
      </c>
      <c r="F107" s="17" t="s">
        <v>226</v>
      </c>
      <c r="G107" s="17"/>
      <c r="H107" s="17" t="s">
        <v>278</v>
      </c>
      <c r="I107" s="16"/>
      <c r="J107" s="16" t="s">
        <v>225</v>
      </c>
      <c r="K107" s="15" t="s">
        <v>387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6" t="s">
        <v>33</v>
      </c>
      <c r="D108" s="14" t="b">
        <f>ISNUMBER(IndexTbl[[#This Row],[Class]])</f>
        <v>1</v>
      </c>
      <c r="E108" s="24" t="str">
        <f>TRIM(IndexTbl[[#This Row],[Prefix]]&amp;IF(NOT(IndexTbl[[#This Row],[Dewey Number]])," "&amp;IndexTbl[[#This Row],[Class]],""))</f>
        <v>TEEN INTL-SPA</v>
      </c>
      <c r="F108" s="17" t="s">
        <v>226</v>
      </c>
      <c r="G108" s="17">
        <v>999.99</v>
      </c>
      <c r="H108" s="17" t="s">
        <v>279</v>
      </c>
      <c r="I108" s="16"/>
      <c r="J108" s="16" t="s">
        <v>233</v>
      </c>
      <c r="K108" s="15" t="s">
        <v>387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6" t="s">
        <v>33</v>
      </c>
      <c r="D109" s="14" t="b">
        <f>ISNUMBER(IndexTbl[[#This Row],[Class]])</f>
        <v>0</v>
      </c>
      <c r="E109" s="24" t="str">
        <f>TRIM(IndexTbl[[#This Row],[Prefix]]&amp;IF(NOT(IndexTbl[[#This Row],[Dewey Number]])," "&amp;IndexTbl[[#This Row],[Class]],""))</f>
        <v>TEEN INTL-SPA BIO</v>
      </c>
      <c r="F109" s="17" t="s">
        <v>226</v>
      </c>
      <c r="G109" s="17" t="s">
        <v>58</v>
      </c>
      <c r="H109" s="17" t="s">
        <v>265</v>
      </c>
      <c r="I109" s="16"/>
      <c r="J109" s="16" t="s">
        <v>240</v>
      </c>
      <c r="K109" s="15" t="s">
        <v>387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4" t="s">
        <v>305</v>
      </c>
      <c r="D110" s="14" t="b">
        <f>ISNUMBER(IndexTbl[[#This Row],[Class]])</f>
        <v>0</v>
      </c>
      <c r="E110" s="24" t="str">
        <f>TRIM(IndexTbl[[#This Row],[Prefix]]&amp;IF(NOT(IndexTbl[[#This Row],[Dewey Number]])," "&amp;IndexTbl[[#This Row],[Class]],""))</f>
        <v>E INTL-TAG</v>
      </c>
      <c r="F110" s="17" t="s">
        <v>309</v>
      </c>
      <c r="G110" s="17"/>
      <c r="H110" s="17" t="s">
        <v>256</v>
      </c>
      <c r="I110" s="16"/>
      <c r="J110" s="16" t="s">
        <v>313</v>
      </c>
      <c r="K110" s="15" t="s">
        <v>388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4" t="s">
        <v>305</v>
      </c>
      <c r="D111" s="14" t="b">
        <f>ISNUMBER(IndexTbl[[#This Row],[Class]])</f>
        <v>1</v>
      </c>
      <c r="E111" s="24" t="str">
        <f>TRIM(IndexTbl[[#This Row],[Prefix]]&amp;IF(NOT(IndexTbl[[#This Row],[Dewey Number]])," "&amp;IndexTbl[[#This Row],[Class]],""))</f>
        <v>E INTL-TAG</v>
      </c>
      <c r="F111" s="17" t="s">
        <v>309</v>
      </c>
      <c r="G111" s="17">
        <v>999.99</v>
      </c>
      <c r="H111" s="17" t="s">
        <v>251</v>
      </c>
      <c r="I111" s="16"/>
      <c r="J111" s="16" t="s">
        <v>314</v>
      </c>
      <c r="K111" s="15" t="s">
        <v>388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4" t="s">
        <v>305</v>
      </c>
      <c r="D112" s="14" t="b">
        <f>ISNUMBER(IndexTbl[[#This Row],[Class]])</f>
        <v>0</v>
      </c>
      <c r="E112" s="24" t="str">
        <f>TRIM(IndexTbl[[#This Row],[Prefix]]&amp;IF(NOT(IndexTbl[[#This Row],[Dewey Number]])," "&amp;IndexTbl[[#This Row],[Class]],""))</f>
        <v>J INTL-TAG</v>
      </c>
      <c r="F112" s="17" t="s">
        <v>310</v>
      </c>
      <c r="G112" s="17"/>
      <c r="H112" s="17" t="s">
        <v>257</v>
      </c>
      <c r="I112" s="16"/>
      <c r="J112" s="16" t="s">
        <v>315</v>
      </c>
      <c r="K112" s="15" t="s">
        <v>388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4" t="s">
        <v>305</v>
      </c>
      <c r="D113" s="14" t="b">
        <f>ISNUMBER(IndexTbl[[#This Row],[Class]])</f>
        <v>1</v>
      </c>
      <c r="E113" s="24" t="str">
        <f>TRIM(IndexTbl[[#This Row],[Prefix]]&amp;IF(NOT(IndexTbl[[#This Row],[Dewey Number]])," "&amp;IndexTbl[[#This Row],[Class]],""))</f>
        <v>J INTL-TAG</v>
      </c>
      <c r="F113" s="17" t="s">
        <v>310</v>
      </c>
      <c r="G113" s="17">
        <v>999.99</v>
      </c>
      <c r="H113" s="17" t="s">
        <v>251</v>
      </c>
      <c r="I113" s="16"/>
      <c r="J113" s="16" t="s">
        <v>316</v>
      </c>
      <c r="K113" s="15" t="s">
        <v>388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4" t="s">
        <v>305</v>
      </c>
      <c r="D114" s="14" t="b">
        <f>ISNUMBER(IndexTbl[[#This Row],[Class]])</f>
        <v>0</v>
      </c>
      <c r="E114" s="24" t="str">
        <f>TRIM(IndexTbl[[#This Row],[Prefix]]&amp;IF(NOT(IndexTbl[[#This Row],[Dewey Number]])," "&amp;IndexTbl[[#This Row],[Class]],""))</f>
        <v>J INTL-TAG BIO</v>
      </c>
      <c r="F114" s="17" t="s">
        <v>310</v>
      </c>
      <c r="G114" s="17" t="s">
        <v>58</v>
      </c>
      <c r="H114" s="17" t="s">
        <v>265</v>
      </c>
      <c r="I114" s="16"/>
      <c r="J114" s="16" t="s">
        <v>317</v>
      </c>
      <c r="K114" s="15" t="s">
        <v>388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4" t="s">
        <v>305</v>
      </c>
      <c r="D115" s="16" t="b">
        <f>ISNUMBER(IndexTbl[[#This Row],[Class]])</f>
        <v>0</v>
      </c>
      <c r="E115" s="24" t="str">
        <f>TRIM(IndexTbl[[#This Row],[Prefix]]&amp;IF(NOT(IndexTbl[[#This Row],[Dewey Number]])," "&amp;IndexTbl[[#This Row],[Class]],""))</f>
        <v>INTL-TAG FIC</v>
      </c>
      <c r="F115" s="17" t="s">
        <v>311</v>
      </c>
      <c r="G115" s="17" t="s">
        <v>182</v>
      </c>
      <c r="H115" s="17" t="s">
        <v>267</v>
      </c>
      <c r="I115" s="16"/>
      <c r="J115" s="16" t="s">
        <v>318</v>
      </c>
      <c r="K115" s="15" t="s">
        <v>388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4" t="s">
        <v>305</v>
      </c>
      <c r="D116" s="16" t="b">
        <f>ISNUMBER(IndexTbl[[#This Row],[Class]])</f>
        <v>1</v>
      </c>
      <c r="E116" s="24" t="str">
        <f>TRIM(IndexTbl[[#This Row],[Prefix]]&amp;IF(NOT(IndexTbl[[#This Row],[Dewey Number]])," "&amp;IndexTbl[[#This Row],[Class]],""))</f>
        <v>INTL-TAG</v>
      </c>
      <c r="F116" s="17" t="s">
        <v>311</v>
      </c>
      <c r="G116" s="17">
        <v>999.99</v>
      </c>
      <c r="H116" s="17" t="s">
        <v>268</v>
      </c>
      <c r="I116" s="16"/>
      <c r="J116" s="16" t="s">
        <v>319</v>
      </c>
      <c r="K116" s="15" t="s">
        <v>388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4" t="s">
        <v>305</v>
      </c>
      <c r="D117" s="16" t="b">
        <f>ISNUMBER(IndexTbl[[#This Row],[Class]])</f>
        <v>0</v>
      </c>
      <c r="E117" s="24" t="str">
        <f>TRIM(IndexTbl[[#This Row],[Prefix]]&amp;IF(NOT(IndexTbl[[#This Row],[Dewey Number]])," "&amp;IndexTbl[[#This Row],[Class]],""))</f>
        <v>INTL-TAG BIO</v>
      </c>
      <c r="F117" s="17" t="s">
        <v>311</v>
      </c>
      <c r="G117" s="17" t="s">
        <v>58</v>
      </c>
      <c r="H117" s="17" t="s">
        <v>265</v>
      </c>
      <c r="I117" s="16"/>
      <c r="J117" s="16" t="s">
        <v>323</v>
      </c>
      <c r="K117" s="15" t="s">
        <v>388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4" t="s">
        <v>305</v>
      </c>
      <c r="D118" s="16" t="b">
        <f>ISNUMBER(IndexTbl[[#This Row],[Class]])</f>
        <v>0</v>
      </c>
      <c r="E118" s="24" t="str">
        <f>TRIM(IndexTbl[[#This Row],[Prefix]]&amp;IF(NOT(IndexTbl[[#This Row],[Dewey Number]])," "&amp;IndexTbl[[#This Row],[Class]],""))</f>
        <v>TEEN INTL-TAG</v>
      </c>
      <c r="F118" s="17" t="s">
        <v>312</v>
      </c>
      <c r="G118" s="17"/>
      <c r="H118" s="17" t="s">
        <v>278</v>
      </c>
      <c r="I118" s="16"/>
      <c r="J118" s="16" t="s">
        <v>322</v>
      </c>
      <c r="K118" s="15" t="s">
        <v>388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4" t="s">
        <v>305</v>
      </c>
      <c r="D119" s="16" t="b">
        <f>ISNUMBER(IndexTbl[[#This Row],[Class]])</f>
        <v>1</v>
      </c>
      <c r="E119" s="24" t="str">
        <f>TRIM(IndexTbl[[#This Row],[Prefix]]&amp;IF(NOT(IndexTbl[[#This Row],[Dewey Number]])," "&amp;IndexTbl[[#This Row],[Class]],""))</f>
        <v>TEEN INTL-TAG</v>
      </c>
      <c r="F119" s="17" t="s">
        <v>312</v>
      </c>
      <c r="G119" s="17">
        <v>999.99</v>
      </c>
      <c r="H119" s="17" t="s">
        <v>279</v>
      </c>
      <c r="I119" s="16"/>
      <c r="J119" s="16" t="s">
        <v>321</v>
      </c>
      <c r="K119" s="15" t="s">
        <v>388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4" t="s">
        <v>305</v>
      </c>
      <c r="D120" s="16" t="b">
        <f>ISNUMBER(IndexTbl[[#This Row],[Class]])</f>
        <v>0</v>
      </c>
      <c r="E120" s="24" t="str">
        <f>TRIM(IndexTbl[[#This Row],[Prefix]]&amp;IF(NOT(IndexTbl[[#This Row],[Dewey Number]])," "&amp;IndexTbl[[#This Row],[Class]],""))</f>
        <v>TEEN INTL-TAG BIO</v>
      </c>
      <c r="F120" s="17" t="s">
        <v>312</v>
      </c>
      <c r="G120" s="17" t="s">
        <v>58</v>
      </c>
      <c r="H120" s="17" t="s">
        <v>265</v>
      </c>
      <c r="I120" s="16"/>
      <c r="J120" s="16" t="s">
        <v>320</v>
      </c>
      <c r="K120" s="15" t="s">
        <v>388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6" t="s">
        <v>34</v>
      </c>
      <c r="D121" s="16" t="b">
        <f>ISNUMBER(IndexTbl[[#This Row],[Class]])</f>
        <v>0</v>
      </c>
      <c r="E121" s="24" t="str">
        <f>TRIM(IndexTbl[[#This Row],[Prefix]]&amp;IF(NOT(IndexTbl[[#This Row],[Dewey Number]])," "&amp;IndexTbl[[#This Row],[Class]],""))</f>
        <v>E INTL-VIE</v>
      </c>
      <c r="F121" s="17" t="s">
        <v>75</v>
      </c>
      <c r="G121" s="17"/>
      <c r="H121" s="17" t="s">
        <v>256</v>
      </c>
      <c r="I121" s="16"/>
      <c r="J121" s="16" t="s">
        <v>74</v>
      </c>
      <c r="K121" s="15" t="s">
        <v>389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6" t="s">
        <v>34</v>
      </c>
      <c r="D122" s="16" t="b">
        <f>ISNUMBER(IndexTbl[[#This Row],[Class]])</f>
        <v>1</v>
      </c>
      <c r="E122" s="24" t="str">
        <f>TRIM(IndexTbl[[#This Row],[Prefix]]&amp;IF(NOT(IndexTbl[[#This Row],[Dewey Number]])," "&amp;IndexTbl[[#This Row],[Class]],""))</f>
        <v>E INTL-VIE</v>
      </c>
      <c r="F122" s="17" t="s">
        <v>85</v>
      </c>
      <c r="G122" s="17">
        <v>999.99</v>
      </c>
      <c r="H122" s="17" t="s">
        <v>251</v>
      </c>
      <c r="I122" s="16"/>
      <c r="J122" s="16" t="s">
        <v>84</v>
      </c>
      <c r="K122" s="15" t="s">
        <v>389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6" t="s">
        <v>34</v>
      </c>
      <c r="D123" s="16" t="b">
        <f>ISNUMBER(IndexTbl[[#This Row],[Class]])</f>
        <v>0</v>
      </c>
      <c r="E123" s="24" t="str">
        <f>TRIM(IndexTbl[[#This Row],[Prefix]]&amp;IF(NOT(IndexTbl[[#This Row],[Dewey Number]])," "&amp;IndexTbl[[#This Row],[Class]],""))</f>
        <v>J INTL-VIE</v>
      </c>
      <c r="F123" s="17" t="s">
        <v>115</v>
      </c>
      <c r="G123" s="17"/>
      <c r="H123" s="17" t="s">
        <v>257</v>
      </c>
      <c r="I123" s="16"/>
      <c r="J123" s="16" t="s">
        <v>114</v>
      </c>
      <c r="K123" s="15" t="s">
        <v>389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6" t="s">
        <v>34</v>
      </c>
      <c r="D124" s="16" t="b">
        <f>ISNUMBER(IndexTbl[[#This Row],[Class]])</f>
        <v>1</v>
      </c>
      <c r="E124" s="24" t="str">
        <f>TRIM(IndexTbl[[#This Row],[Prefix]]&amp;IF(NOT(IndexTbl[[#This Row],[Dewey Number]])," "&amp;IndexTbl[[#This Row],[Class]],""))</f>
        <v>J INTL-VIE</v>
      </c>
      <c r="F124" s="17" t="s">
        <v>115</v>
      </c>
      <c r="G124" s="17">
        <v>999.99</v>
      </c>
      <c r="H124" s="17" t="s">
        <v>251</v>
      </c>
      <c r="I124" s="16"/>
      <c r="J124" s="16" t="s">
        <v>121</v>
      </c>
      <c r="K124" s="15" t="s">
        <v>389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6" t="s">
        <v>34</v>
      </c>
      <c r="D125" s="16" t="b">
        <f>ISNUMBER(IndexTbl[[#This Row],[Class]])</f>
        <v>0</v>
      </c>
      <c r="E125" s="24" t="str">
        <f>TRIM(IndexTbl[[#This Row],[Prefix]]&amp;IF(NOT(IndexTbl[[#This Row],[Dewey Number]])," "&amp;IndexTbl[[#This Row],[Class]],""))</f>
        <v>J INTL-VIE BIO</v>
      </c>
      <c r="F125" s="17" t="s">
        <v>115</v>
      </c>
      <c r="G125" s="17" t="s">
        <v>58</v>
      </c>
      <c r="H125" s="17" t="s">
        <v>265</v>
      </c>
      <c r="I125" s="16"/>
      <c r="J125" s="16" t="s">
        <v>127</v>
      </c>
      <c r="K125" s="15" t="s">
        <v>389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6" t="s">
        <v>34</v>
      </c>
      <c r="D126" s="16" t="b">
        <f>ISNUMBER(IndexTbl[[#This Row],[Class]])</f>
        <v>0</v>
      </c>
      <c r="E126" s="24" t="str">
        <f>TRIM(IndexTbl[[#This Row],[Prefix]]&amp;IF(NOT(IndexTbl[[#This Row],[Dewey Number]])," "&amp;IndexTbl[[#This Row],[Class]],""))</f>
        <v>INTL-VIE FIC</v>
      </c>
      <c r="F126" s="17" t="s">
        <v>192</v>
      </c>
      <c r="G126" s="17" t="s">
        <v>182</v>
      </c>
      <c r="H126" s="17" t="s">
        <v>267</v>
      </c>
      <c r="I126" s="16"/>
      <c r="J126" s="16" t="s">
        <v>191</v>
      </c>
      <c r="K126" s="15" t="s">
        <v>389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6" t="s">
        <v>34</v>
      </c>
      <c r="D127" s="14" t="b">
        <f>ISNUMBER(IndexTbl[[#This Row],[Class]])</f>
        <v>1</v>
      </c>
      <c r="E127" s="24" t="str">
        <f>TRIM(IndexTbl[[#This Row],[Prefix]]&amp;IF(NOT(IndexTbl[[#This Row],[Dewey Number]])," "&amp;IndexTbl[[#This Row],[Class]],""))</f>
        <v>INTL-VIE</v>
      </c>
      <c r="F127" s="17" t="s">
        <v>192</v>
      </c>
      <c r="G127" s="17">
        <v>999.99</v>
      </c>
      <c r="H127" s="17" t="s">
        <v>268</v>
      </c>
      <c r="I127" s="16"/>
      <c r="J127" s="16" t="s">
        <v>198</v>
      </c>
      <c r="K127" s="15" t="s">
        <v>389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6" t="s">
        <v>34</v>
      </c>
      <c r="D128" s="16" t="b">
        <f>ISNUMBER(IndexTbl[[#This Row],[Class]])</f>
        <v>0</v>
      </c>
      <c r="E128" s="24" t="str">
        <f>TRIM(IndexTbl[[#This Row],[Prefix]]&amp;IF(NOT(IndexTbl[[#This Row],[Dewey Number]])," "&amp;IndexTbl[[#This Row],[Class]],""))</f>
        <v>INTL-VIE BIO</v>
      </c>
      <c r="F128" s="17" t="s">
        <v>192</v>
      </c>
      <c r="G128" s="17" t="s">
        <v>58</v>
      </c>
      <c r="H128" s="17" t="s">
        <v>265</v>
      </c>
      <c r="I128" s="16"/>
      <c r="J128" s="16" t="s">
        <v>204</v>
      </c>
      <c r="K128" s="15" t="s">
        <v>389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6" t="s">
        <v>34</v>
      </c>
      <c r="D129" s="16" t="b">
        <f>ISNUMBER(IndexTbl[[#This Row],[Class]])</f>
        <v>0</v>
      </c>
      <c r="E129" s="24" t="str">
        <f>TRIM(IndexTbl[[#This Row],[Prefix]]&amp;IF(NOT(IndexTbl[[#This Row],[Dewey Number]])," "&amp;IndexTbl[[#This Row],[Class]],""))</f>
        <v>TEEN INTL-VIE</v>
      </c>
      <c r="F129" s="17" t="s">
        <v>228</v>
      </c>
      <c r="G129" s="17"/>
      <c r="H129" s="17" t="s">
        <v>278</v>
      </c>
      <c r="I129" s="16"/>
      <c r="J129" s="16" t="s">
        <v>227</v>
      </c>
      <c r="K129" s="15" t="s">
        <v>389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6" t="s">
        <v>34</v>
      </c>
      <c r="D130" s="16" t="b">
        <f>ISNUMBER(IndexTbl[[#This Row],[Class]])</f>
        <v>1</v>
      </c>
      <c r="E130" s="24" t="str">
        <f>TRIM(IndexTbl[[#This Row],[Prefix]]&amp;IF(NOT(IndexTbl[[#This Row],[Dewey Number]])," "&amp;IndexTbl[[#This Row],[Class]],""))</f>
        <v>TEEN INTL-VIE</v>
      </c>
      <c r="F130" s="17" t="s">
        <v>228</v>
      </c>
      <c r="G130" s="17">
        <v>999.99</v>
      </c>
      <c r="H130" s="17" t="s">
        <v>279</v>
      </c>
      <c r="I130" s="16"/>
      <c r="J130" s="16" t="s">
        <v>234</v>
      </c>
      <c r="K130" s="15" t="s">
        <v>389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6" t="s">
        <v>34</v>
      </c>
      <c r="D131" s="16" t="b">
        <f>ISNUMBER(IndexTbl[[#This Row],[Class]])</f>
        <v>0</v>
      </c>
      <c r="E131" s="24" t="str">
        <f>TRIM(IndexTbl[[#This Row],[Prefix]]&amp;IF(NOT(IndexTbl[[#This Row],[Dewey Number]])," "&amp;IndexTbl[[#This Row],[Class]],""))</f>
        <v>TEEN INTL-VIE BIO</v>
      </c>
      <c r="F131" s="17" t="s">
        <v>228</v>
      </c>
      <c r="G131" s="17" t="s">
        <v>58</v>
      </c>
      <c r="H131" s="17" t="s">
        <v>265</v>
      </c>
      <c r="I131" s="16"/>
      <c r="J131" s="16" t="s">
        <v>241</v>
      </c>
      <c r="K131" s="15" t="s">
        <v>389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6" t="s">
        <v>4</v>
      </c>
      <c r="D132" s="16" t="b">
        <f>ISNUMBER(IndexTbl[[#This Row],[Class]])</f>
        <v>0</v>
      </c>
      <c r="E132" s="24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336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4" t="s">
        <v>301</v>
      </c>
      <c r="D133" s="16" t="b">
        <f>ISNUMBER(IndexTbl[[#This Row],[Class]])</f>
        <v>0</v>
      </c>
      <c r="E133" s="24" t="str">
        <f>TRIM(IndexTbl[[#This Row],[Prefix]]&amp;IF(NOT(IndexTbl[[#This Row],[Dewey Number]])," "&amp;IndexTbl[[#This Row],[Class]],""))</f>
        <v>DVD</v>
      </c>
      <c r="F133" s="13" t="s">
        <v>51</v>
      </c>
      <c r="G133" s="17"/>
      <c r="H133" s="17" t="s">
        <v>272</v>
      </c>
      <c r="I133" s="16"/>
      <c r="J133" s="16" t="s">
        <v>140</v>
      </c>
      <c r="K133" s="15" t="s">
        <v>337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6" t="s">
        <v>5</v>
      </c>
      <c r="D134" s="16" t="b">
        <f>ISNUMBER(IndexTbl[[#This Row],[Class]])</f>
        <v>0</v>
      </c>
      <c r="E134" s="24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338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6" t="s">
        <v>7</v>
      </c>
      <c r="D135" s="16" t="b">
        <f>ISNUMBER(IndexTbl[[#This Row],[Class]])</f>
        <v>0</v>
      </c>
      <c r="E135" s="24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339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6" t="s">
        <v>8</v>
      </c>
      <c r="D136" s="16" t="b">
        <f>ISNUMBER(IndexTbl[[#This Row],[Class]])</f>
        <v>0</v>
      </c>
      <c r="E136" s="24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340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6" t="s">
        <v>9</v>
      </c>
      <c r="D137" s="16" t="b">
        <f>ISNUMBER(IndexTbl[[#This Row],[Class]])</f>
        <v>0</v>
      </c>
      <c r="E137" s="24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341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6" t="s">
        <v>10</v>
      </c>
      <c r="D138" s="16" t="b">
        <f>ISNUMBER(IndexTbl[[#This Row],[Class]])</f>
        <v>0</v>
      </c>
      <c r="E138" s="24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342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6" t="s">
        <v>11</v>
      </c>
      <c r="D139" s="16" t="b">
        <f>ISNUMBER(IndexTbl[[#This Row],[Class]])</f>
        <v>0</v>
      </c>
      <c r="E139" s="24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343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6" t="s">
        <v>6</v>
      </c>
      <c r="D140" s="16" t="b">
        <f>ISNUMBER(IndexTbl[[#This Row],[Class]])</f>
        <v>0</v>
      </c>
      <c r="E140" s="24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344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6" t="s">
        <v>12</v>
      </c>
      <c r="D141" s="16" t="b">
        <f>ISNUMBER(IndexTbl[[#This Row],[Class]])</f>
        <v>0</v>
      </c>
      <c r="E141" s="24" t="str">
        <f>TRIM(IndexTbl[[#This Row],[Prefix]]&amp;IF(NOT(IndexTbl[[#This Row],[Dewey Number]])," "&amp;IndexTbl[[#This Row],[Class]],""))</f>
        <v>DVD</v>
      </c>
      <c r="F141" s="17" t="s">
        <v>51</v>
      </c>
      <c r="G141" s="17"/>
      <c r="H141" s="17" t="s">
        <v>272</v>
      </c>
      <c r="I141" s="16"/>
      <c r="J141" s="16" t="s">
        <v>140</v>
      </c>
      <c r="K141" s="15" t="s">
        <v>345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6" t="s">
        <v>13</v>
      </c>
      <c r="D142" s="16" t="b">
        <f>ISNUMBER(IndexTbl[[#This Row],[Class]])</f>
        <v>0</v>
      </c>
      <c r="E142" s="24" t="str">
        <f>TRIM(IndexTbl[[#This Row],[Prefix]]&amp;IF(NOT(IndexTbl[[#This Row],[Dewey Number]])," "&amp;IndexTbl[[#This Row],[Class]],""))</f>
        <v>DVD</v>
      </c>
      <c r="F142" s="17" t="s">
        <v>51</v>
      </c>
      <c r="G142" s="17"/>
      <c r="H142" s="17" t="s">
        <v>272</v>
      </c>
      <c r="I142" s="16"/>
      <c r="J142" s="16" t="s">
        <v>140</v>
      </c>
      <c r="K142" s="15" t="s">
        <v>346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6" t="s">
        <v>14</v>
      </c>
      <c r="D143" s="16" t="b">
        <f>ISNUMBER(IndexTbl[[#This Row],[Class]])</f>
        <v>0</v>
      </c>
      <c r="E143" s="24" t="str">
        <f>TRIM(IndexTbl[[#This Row],[Prefix]]&amp;IF(NOT(IndexTbl[[#This Row],[Dewey Number]])," "&amp;IndexTbl[[#This Row],[Class]],""))</f>
        <v>DVD</v>
      </c>
      <c r="F143" s="17" t="s">
        <v>51</v>
      </c>
      <c r="G143" s="17"/>
      <c r="H143" s="17" t="s">
        <v>272</v>
      </c>
      <c r="I143" s="16"/>
      <c r="J143" s="16" t="s">
        <v>140</v>
      </c>
      <c r="K143" s="15" t="s">
        <v>347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6" t="s">
        <v>15</v>
      </c>
      <c r="D144" s="16" t="b">
        <f>ISNUMBER(IndexTbl[[#This Row],[Class]])</f>
        <v>0</v>
      </c>
      <c r="E144" s="24" t="str">
        <f>TRIM(IndexTbl[[#This Row],[Prefix]]&amp;IF(NOT(IndexTbl[[#This Row],[Dewey Number]])," "&amp;IndexTbl[[#This Row],[Class]],""))</f>
        <v>DVD</v>
      </c>
      <c r="F144" s="17" t="s">
        <v>51</v>
      </c>
      <c r="G144" s="17"/>
      <c r="H144" s="17" t="s">
        <v>272</v>
      </c>
      <c r="I144" s="16"/>
      <c r="J144" s="16" t="s">
        <v>140</v>
      </c>
      <c r="K144" s="15" t="s">
        <v>348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6" t="s">
        <v>16</v>
      </c>
      <c r="D145" s="16" t="b">
        <f>ISNUMBER(IndexTbl[[#This Row],[Class]])</f>
        <v>0</v>
      </c>
      <c r="E145" s="24" t="str">
        <f>TRIM(IndexTbl[[#This Row],[Prefix]]&amp;IF(NOT(IndexTbl[[#This Row],[Dewey Number]])," "&amp;IndexTbl[[#This Row],[Class]],""))</f>
        <v>DVD</v>
      </c>
      <c r="F145" s="17" t="s">
        <v>51</v>
      </c>
      <c r="G145" s="17"/>
      <c r="H145" s="17" t="s">
        <v>272</v>
      </c>
      <c r="I145" s="16"/>
      <c r="J145" s="16" t="s">
        <v>140</v>
      </c>
      <c r="K145" s="15" t="s">
        <v>349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6" t="s">
        <v>17</v>
      </c>
      <c r="D146" s="16" t="b">
        <f>ISNUMBER(IndexTbl[[#This Row],[Class]])</f>
        <v>0</v>
      </c>
      <c r="E146" s="24" t="str">
        <f>TRIM(IndexTbl[[#This Row],[Prefix]]&amp;IF(NOT(IndexTbl[[#This Row],[Dewey Number]])," "&amp;IndexTbl[[#This Row],[Class]],""))</f>
        <v>DVD</v>
      </c>
      <c r="F146" s="17" t="s">
        <v>51</v>
      </c>
      <c r="G146" s="17"/>
      <c r="H146" s="17" t="s">
        <v>272</v>
      </c>
      <c r="I146" s="16"/>
      <c r="J146" s="16" t="s">
        <v>140</v>
      </c>
      <c r="K146" s="15" t="s">
        <v>350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6" t="s">
        <v>35</v>
      </c>
      <c r="D147" s="16" t="b">
        <f>ISNUMBER(IndexTbl[[#This Row],[Class]])</f>
        <v>0</v>
      </c>
      <c r="E147" s="24" t="str">
        <f>TRIM(IndexTbl[[#This Row],[Prefix]]&amp;IF(NOT(IndexTbl[[#This Row],[Dewey Number]])," "&amp;IndexTbl[[#This Row],[Class]],""))</f>
        <v>CD A</v>
      </c>
      <c r="F147" s="17" t="s">
        <v>137</v>
      </c>
      <c r="G147" s="17" t="s">
        <v>148</v>
      </c>
      <c r="H147" s="17" t="s">
        <v>276</v>
      </c>
      <c r="I147" s="16"/>
      <c r="J147" s="16" t="s">
        <v>147</v>
      </c>
      <c r="K147" s="15" t="s">
        <v>354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6" t="s">
        <v>35</v>
      </c>
      <c r="D148" s="16" t="b">
        <f>ISNUMBER(IndexTbl[[#This Row],[Class]])</f>
        <v>0</v>
      </c>
      <c r="E148" s="24" t="str">
        <f>TRIM(IndexTbl[[#This Row],[Prefix]]&amp;IF(NOT(IndexTbl[[#This Row],[Dewey Number]])," "&amp;IndexTbl[[#This Row],[Class]],""))</f>
        <v>CD B</v>
      </c>
      <c r="F148" s="17" t="s">
        <v>137</v>
      </c>
      <c r="G148" s="17" t="s">
        <v>149</v>
      </c>
      <c r="H148" s="17" t="s">
        <v>276</v>
      </c>
      <c r="I148" s="16"/>
      <c r="J148" s="16" t="s">
        <v>147</v>
      </c>
      <c r="K148" s="15" t="s">
        <v>355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6" t="s">
        <v>35</v>
      </c>
      <c r="D149" s="16" t="b">
        <f>ISNUMBER(IndexTbl[[#This Row],[Class]])</f>
        <v>0</v>
      </c>
      <c r="E149" s="24" t="str">
        <f>TRIM(IndexTbl[[#This Row],[Prefix]]&amp;IF(NOT(IndexTbl[[#This Row],[Dewey Number]])," "&amp;IndexTbl[[#This Row],[Class]],""))</f>
        <v>CD C</v>
      </c>
      <c r="F149" s="17" t="s">
        <v>137</v>
      </c>
      <c r="G149" s="17" t="s">
        <v>150</v>
      </c>
      <c r="H149" s="17" t="s">
        <v>276</v>
      </c>
      <c r="I149" s="16"/>
      <c r="J149" s="16" t="s">
        <v>147</v>
      </c>
      <c r="K149" s="15" t="s">
        <v>356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6" t="s">
        <v>35</v>
      </c>
      <c r="D150" s="16" t="b">
        <f>ISNUMBER(IndexTbl[[#This Row],[Class]])</f>
        <v>0</v>
      </c>
      <c r="E150" s="24" t="str">
        <f>TRIM(IndexTbl[[#This Row],[Prefix]]&amp;IF(NOT(IndexTbl[[#This Row],[Dewey Number]])," "&amp;IndexTbl[[#This Row],[Class]],""))</f>
        <v>CD D</v>
      </c>
      <c r="F150" s="17" t="s">
        <v>137</v>
      </c>
      <c r="G150" s="17" t="s">
        <v>151</v>
      </c>
      <c r="H150" s="17" t="s">
        <v>276</v>
      </c>
      <c r="I150" s="16"/>
      <c r="J150" s="16" t="s">
        <v>147</v>
      </c>
      <c r="K150" s="15" t="s">
        <v>357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6" t="s">
        <v>35</v>
      </c>
      <c r="D151" s="16" t="b">
        <f>ISNUMBER(IndexTbl[[#This Row],[Class]])</f>
        <v>0</v>
      </c>
      <c r="E151" s="24" t="str">
        <f>TRIM(IndexTbl[[#This Row],[Prefix]]&amp;IF(NOT(IndexTbl[[#This Row],[Dewey Number]])," "&amp;IndexTbl[[#This Row],[Class]],""))</f>
        <v>CD DG</v>
      </c>
      <c r="F151" s="17" t="s">
        <v>137</v>
      </c>
      <c r="G151" s="17" t="s">
        <v>152</v>
      </c>
      <c r="H151" s="17" t="s">
        <v>276</v>
      </c>
      <c r="I151" s="16"/>
      <c r="J151" s="16" t="s">
        <v>147</v>
      </c>
      <c r="K151" s="15" t="s">
        <v>358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6" t="s">
        <v>35</v>
      </c>
      <c r="D152" s="16" t="b">
        <f>ISNUMBER(IndexTbl[[#This Row],[Class]])</f>
        <v>0</v>
      </c>
      <c r="E152" s="24" t="str">
        <f>TRIM(IndexTbl[[#This Row],[Prefix]]&amp;IF(NOT(IndexTbl[[#This Row],[Dewey Number]])," "&amp;IndexTbl[[#This Row],[Class]],""))</f>
        <v>CD DO</v>
      </c>
      <c r="F152" s="17" t="s">
        <v>137</v>
      </c>
      <c r="G152" s="17" t="s">
        <v>153</v>
      </c>
      <c r="H152" s="17" t="s">
        <v>276</v>
      </c>
      <c r="I152" s="16"/>
      <c r="J152" s="16" t="s">
        <v>147</v>
      </c>
      <c r="K152" s="15" t="s">
        <v>359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6" t="s">
        <v>35</v>
      </c>
      <c r="D153" s="16" t="b">
        <f>ISNUMBER(IndexTbl[[#This Row],[Class]])</f>
        <v>0</v>
      </c>
      <c r="E153" s="24" t="str">
        <f>TRIM(IndexTbl[[#This Row],[Prefix]]&amp;IF(NOT(IndexTbl[[#This Row],[Dewey Number]])," "&amp;IndexTbl[[#This Row],[Class]],""))</f>
        <v>CD DP</v>
      </c>
      <c r="F153" s="17" t="s">
        <v>137</v>
      </c>
      <c r="G153" s="17" t="s">
        <v>154</v>
      </c>
      <c r="H153" s="17" t="s">
        <v>276</v>
      </c>
      <c r="I153" s="16"/>
      <c r="J153" s="16" t="s">
        <v>147</v>
      </c>
      <c r="K153" s="15" t="s">
        <v>360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6" t="s">
        <v>35</v>
      </c>
      <c r="D154" s="16" t="b">
        <f>ISNUMBER(IndexTbl[[#This Row],[Class]])</f>
        <v>0</v>
      </c>
      <c r="E154" s="24" t="str">
        <f>TRIM(IndexTbl[[#This Row],[Prefix]]&amp;IF(NOT(IndexTbl[[#This Row],[Dewey Number]])," "&amp;IndexTbl[[#This Row],[Class]],""))</f>
        <v>CD DS</v>
      </c>
      <c r="F154" s="17" t="s">
        <v>137</v>
      </c>
      <c r="G154" s="17" t="s">
        <v>155</v>
      </c>
      <c r="H154" s="17" t="s">
        <v>276</v>
      </c>
      <c r="I154" s="16"/>
      <c r="J154" s="16" t="s">
        <v>147</v>
      </c>
      <c r="K154" s="15" t="s">
        <v>361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6" t="s">
        <v>35</v>
      </c>
      <c r="D155" s="16" t="b">
        <f>ISNUMBER(IndexTbl[[#This Row],[Class]])</f>
        <v>0</v>
      </c>
      <c r="E155" s="24" t="str">
        <f>TRIM(IndexTbl[[#This Row],[Prefix]]&amp;IF(NOT(IndexTbl[[#This Row],[Dewey Number]])," "&amp;IndexTbl[[#This Row],[Class]],""))</f>
        <v>CD DV</v>
      </c>
      <c r="F155" s="17" t="s">
        <v>137</v>
      </c>
      <c r="G155" s="17" t="s">
        <v>156</v>
      </c>
      <c r="H155" s="17" t="s">
        <v>276</v>
      </c>
      <c r="I155" s="16"/>
      <c r="J155" s="16" t="s">
        <v>147</v>
      </c>
      <c r="K155" s="15" t="s">
        <v>362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6" t="s">
        <v>35</v>
      </c>
      <c r="D156" s="16" t="b">
        <f>ISNUMBER(IndexTbl[[#This Row],[Class]])</f>
        <v>0</v>
      </c>
      <c r="E156" s="24" t="str">
        <f>TRIM(IndexTbl[[#This Row],[Prefix]]&amp;IF(NOT(IndexTbl[[#This Row],[Dewey Number]])," "&amp;IndexTbl[[#This Row],[Class]],""))</f>
        <v>CD DW</v>
      </c>
      <c r="F156" s="17" t="s">
        <v>137</v>
      </c>
      <c r="G156" s="17" t="s">
        <v>157</v>
      </c>
      <c r="H156" s="17" t="s">
        <v>276</v>
      </c>
      <c r="I156" s="16"/>
      <c r="J156" s="16" t="s">
        <v>147</v>
      </c>
      <c r="K156" s="15" t="s">
        <v>363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6" t="s">
        <v>35</v>
      </c>
      <c r="D157" s="16" t="b">
        <f>ISNUMBER(IndexTbl[[#This Row],[Class]])</f>
        <v>0</v>
      </c>
      <c r="E157" s="24" t="str">
        <f>TRIM(IndexTbl[[#This Row],[Prefix]]&amp;IF(NOT(IndexTbl[[#This Row],[Dewey Number]])," "&amp;IndexTbl[[#This Row],[Class]],""))</f>
        <v>CD DX</v>
      </c>
      <c r="F157" s="17" t="s">
        <v>137</v>
      </c>
      <c r="G157" s="17" t="s">
        <v>158</v>
      </c>
      <c r="H157" s="17" t="s">
        <v>276</v>
      </c>
      <c r="I157" s="16"/>
      <c r="J157" s="16" t="s">
        <v>147</v>
      </c>
      <c r="K157" s="15" t="s">
        <v>364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6" t="s">
        <v>35</v>
      </c>
      <c r="D158" s="16" t="b">
        <f>ISNUMBER(IndexTbl[[#This Row],[Class]])</f>
        <v>0</v>
      </c>
      <c r="E158" s="24" t="str">
        <f>TRIM(IndexTbl[[#This Row],[Prefix]]&amp;IF(NOT(IndexTbl[[#This Row],[Dewey Number]])," "&amp;IndexTbl[[#This Row],[Class]],""))</f>
        <v>CD E</v>
      </c>
      <c r="F158" s="17" t="s">
        <v>137</v>
      </c>
      <c r="G158" s="17" t="s">
        <v>53</v>
      </c>
      <c r="H158" s="17" t="s">
        <v>276</v>
      </c>
      <c r="I158" s="16"/>
      <c r="J158" s="16" t="s">
        <v>147</v>
      </c>
      <c r="K158" s="15" t="s">
        <v>365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6" t="s">
        <v>35</v>
      </c>
      <c r="D159" s="16" t="b">
        <f>ISNUMBER(IndexTbl[[#This Row],[Class]])</f>
        <v>0</v>
      </c>
      <c r="E159" s="24" t="str">
        <f>TRIM(IndexTbl[[#This Row],[Prefix]]&amp;IF(NOT(IndexTbl[[#This Row],[Dewey Number]])," "&amp;IndexTbl[[#This Row],[Class]],""))</f>
        <v>CD F</v>
      </c>
      <c r="F159" s="17" t="s">
        <v>137</v>
      </c>
      <c r="G159" s="17" t="s">
        <v>159</v>
      </c>
      <c r="H159" s="17" t="s">
        <v>276</v>
      </c>
      <c r="I159" s="16"/>
      <c r="J159" s="16" t="s">
        <v>147</v>
      </c>
      <c r="K159" s="15" t="s">
        <v>366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6" t="s">
        <v>35</v>
      </c>
      <c r="D160" s="16" t="b">
        <f>ISNUMBER(IndexTbl[[#This Row],[Class]])</f>
        <v>0</v>
      </c>
      <c r="E160" s="24" t="str">
        <f>TRIM(IndexTbl[[#This Row],[Prefix]]&amp;IF(NOT(IndexTbl[[#This Row],[Dewey Number]])," "&amp;IndexTbl[[#This Row],[Class]],""))</f>
        <v>CD G</v>
      </c>
      <c r="F160" s="17" t="s">
        <v>137</v>
      </c>
      <c r="G160" s="17" t="s">
        <v>160</v>
      </c>
      <c r="H160" s="17" t="s">
        <v>276</v>
      </c>
      <c r="I160" s="16"/>
      <c r="J160" s="16" t="s">
        <v>147</v>
      </c>
      <c r="K160" s="15" t="s">
        <v>367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6" t="s">
        <v>35</v>
      </c>
      <c r="D161" s="16" t="b">
        <f>ISNUMBER(IndexTbl[[#This Row],[Class]])</f>
        <v>0</v>
      </c>
      <c r="E161" s="24" t="str">
        <f>TRIM(IndexTbl[[#This Row],[Prefix]]&amp;IF(NOT(IndexTbl[[#This Row],[Dewey Number]])," "&amp;IndexTbl[[#This Row],[Class]],""))</f>
        <v>CD H</v>
      </c>
      <c r="F161" s="17" t="s">
        <v>137</v>
      </c>
      <c r="G161" s="17" t="s">
        <v>161</v>
      </c>
      <c r="H161" s="17" t="s">
        <v>276</v>
      </c>
      <c r="I161" s="16"/>
      <c r="J161" s="16" t="s">
        <v>147</v>
      </c>
      <c r="K161" s="15" t="s">
        <v>368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6" t="s">
        <v>35</v>
      </c>
      <c r="D162" s="16" t="b">
        <f>ISNUMBER(IndexTbl[[#This Row],[Class]])</f>
        <v>0</v>
      </c>
      <c r="E162" s="24" t="str">
        <f>TRIM(IndexTbl[[#This Row],[Prefix]]&amp;IF(NOT(IndexTbl[[#This Row],[Dewey Number]])," "&amp;IndexTbl[[#This Row],[Class]],""))</f>
        <v>CD K</v>
      </c>
      <c r="F162" s="17" t="s">
        <v>137</v>
      </c>
      <c r="G162" s="17" t="s">
        <v>162</v>
      </c>
      <c r="H162" s="17" t="s">
        <v>276</v>
      </c>
      <c r="I162" s="16"/>
      <c r="J162" s="16" t="s">
        <v>147</v>
      </c>
      <c r="K162" s="15" t="s">
        <v>369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6" t="s">
        <v>35</v>
      </c>
      <c r="D163" s="16" t="b">
        <f>ISNUMBER(IndexTbl[[#This Row],[Class]])</f>
        <v>0</v>
      </c>
      <c r="E163" s="24" t="str">
        <f>TRIM(IndexTbl[[#This Row],[Prefix]]&amp;IF(NOT(IndexTbl[[#This Row],[Dewey Number]])," "&amp;IndexTbl[[#This Row],[Class]],""))</f>
        <v>CD L</v>
      </c>
      <c r="F163" s="17" t="s">
        <v>137</v>
      </c>
      <c r="G163" s="17" t="s">
        <v>163</v>
      </c>
      <c r="H163" s="17" t="s">
        <v>276</v>
      </c>
      <c r="I163" s="16"/>
      <c r="J163" s="16" t="s">
        <v>147</v>
      </c>
      <c r="K163" s="15" t="s">
        <v>370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6" t="s">
        <v>35</v>
      </c>
      <c r="D164" s="16" t="b">
        <f>ISNUMBER(IndexTbl[[#This Row],[Class]])</f>
        <v>0</v>
      </c>
      <c r="E164" s="24" t="str">
        <f>TRIM(IndexTbl[[#This Row],[Prefix]]&amp;IF(NOT(IndexTbl[[#This Row],[Dewey Number]])," "&amp;IndexTbl[[#This Row],[Class]],""))</f>
        <v>CD M</v>
      </c>
      <c r="F164" s="17" t="s">
        <v>137</v>
      </c>
      <c r="G164" s="17" t="s">
        <v>164</v>
      </c>
      <c r="H164" s="17" t="s">
        <v>276</v>
      </c>
      <c r="I164" s="16"/>
      <c r="J164" s="16" t="s">
        <v>147</v>
      </c>
      <c r="K164" s="15" t="s">
        <v>371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6" t="s">
        <v>35</v>
      </c>
      <c r="D165" s="16" t="b">
        <f>ISNUMBER(IndexTbl[[#This Row],[Class]])</f>
        <v>0</v>
      </c>
      <c r="E165" s="24" t="str">
        <f>TRIM(IndexTbl[[#This Row],[Prefix]]&amp;IF(NOT(IndexTbl[[#This Row],[Dewey Number]])," "&amp;IndexTbl[[#This Row],[Class]],""))</f>
        <v>CD MA</v>
      </c>
      <c r="F165" s="17" t="s">
        <v>137</v>
      </c>
      <c r="G165" s="17" t="s">
        <v>165</v>
      </c>
      <c r="H165" s="17" t="s">
        <v>276</v>
      </c>
      <c r="I165" s="16"/>
      <c r="J165" s="16" t="s">
        <v>147</v>
      </c>
      <c r="K165" s="15" t="s">
        <v>372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6" t="s">
        <v>35</v>
      </c>
      <c r="D166" s="16" t="b">
        <f>ISNUMBER(IndexTbl[[#This Row],[Class]])</f>
        <v>0</v>
      </c>
      <c r="E166" s="24" t="str">
        <f>TRIM(IndexTbl[[#This Row],[Prefix]]&amp;IF(NOT(IndexTbl[[#This Row],[Dewey Number]])," "&amp;IndexTbl[[#This Row],[Class]],""))</f>
        <v>CD MC</v>
      </c>
      <c r="F166" s="17" t="s">
        <v>137</v>
      </c>
      <c r="G166" s="17" t="s">
        <v>166</v>
      </c>
      <c r="H166" s="17" t="s">
        <v>276</v>
      </c>
      <c r="I166" s="16"/>
      <c r="J166" s="16" t="s">
        <v>147</v>
      </c>
      <c r="K166" s="15" t="s">
        <v>373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6" t="s">
        <v>35</v>
      </c>
      <c r="D167" s="16" t="b">
        <f>ISNUMBER(IndexTbl[[#This Row],[Class]])</f>
        <v>0</v>
      </c>
      <c r="E167" s="24" t="str">
        <f>TRIM(IndexTbl[[#This Row],[Prefix]]&amp;IF(NOT(IndexTbl[[#This Row],[Dewey Number]])," "&amp;IndexTbl[[#This Row],[Class]],""))</f>
        <v>CD ME</v>
      </c>
      <c r="F167" s="17" t="s">
        <v>137</v>
      </c>
      <c r="G167" s="17" t="s">
        <v>167</v>
      </c>
      <c r="H167" s="17" t="s">
        <v>276</v>
      </c>
      <c r="I167" s="16"/>
      <c r="J167" s="16" t="s">
        <v>147</v>
      </c>
      <c r="K167" s="15" t="s">
        <v>374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6" t="s">
        <v>35</v>
      </c>
      <c r="D168" s="16" t="b">
        <f>ISNUMBER(IndexTbl[[#This Row],[Class]])</f>
        <v>0</v>
      </c>
      <c r="E168" s="24" t="str">
        <f>TRIM(IndexTbl[[#This Row],[Prefix]]&amp;IF(NOT(IndexTbl[[#This Row],[Dewey Number]])," "&amp;IndexTbl[[#This Row],[Class]],""))</f>
        <v>CD MH</v>
      </c>
      <c r="F168" s="17" t="s">
        <v>137</v>
      </c>
      <c r="G168" s="17" t="s">
        <v>168</v>
      </c>
      <c r="H168" s="17" t="s">
        <v>276</v>
      </c>
      <c r="I168" s="16"/>
      <c r="J168" s="16" t="s">
        <v>147</v>
      </c>
      <c r="K168" s="15" t="s">
        <v>375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20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6" t="s">
        <v>35</v>
      </c>
      <c r="D169" s="16" t="b">
        <f>ISNUMBER(IndexTbl[[#This Row],[Class]])</f>
        <v>0</v>
      </c>
      <c r="E169" s="24" t="str">
        <f>TRIM(IndexTbl[[#This Row],[Prefix]]&amp;IF(NOT(IndexTbl[[#This Row],[Dewey Number]])," "&amp;IndexTbl[[#This Row],[Class]],""))</f>
        <v>CD MI</v>
      </c>
      <c r="F169" s="17" t="s">
        <v>137</v>
      </c>
      <c r="G169" s="17" t="s">
        <v>169</v>
      </c>
      <c r="H169" s="17" t="s">
        <v>276</v>
      </c>
      <c r="I169" s="16"/>
      <c r="J169" s="16" t="s">
        <v>147</v>
      </c>
      <c r="K169" s="15" t="s">
        <v>376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6" t="s">
        <v>35</v>
      </c>
      <c r="D170" s="14" t="b">
        <f>ISNUMBER(IndexTbl[[#This Row],[Class]])</f>
        <v>0</v>
      </c>
      <c r="E170" s="24" t="str">
        <f>TRIM(IndexTbl[[#This Row],[Prefix]]&amp;IF(NOT(IndexTbl[[#This Row],[Dewey Number]])," "&amp;IndexTbl[[#This Row],[Class]],""))</f>
        <v>CD MR</v>
      </c>
      <c r="F170" s="17" t="s">
        <v>137</v>
      </c>
      <c r="G170" s="17" t="s">
        <v>170</v>
      </c>
      <c r="H170" s="17" t="s">
        <v>276</v>
      </c>
      <c r="I170" s="16"/>
      <c r="J170" s="16" t="s">
        <v>147</v>
      </c>
      <c r="K170" s="15" t="s">
        <v>377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6" t="s">
        <v>35</v>
      </c>
      <c r="D171" s="16" t="b">
        <f>ISNUMBER(IndexTbl[[#This Row],[Class]])</f>
        <v>0</v>
      </c>
      <c r="E171" s="24" t="str">
        <f>TRIM(IndexTbl[[#This Row],[Prefix]]&amp;IF(NOT(IndexTbl[[#This Row],[Dewey Number]])," "&amp;IndexTbl[[#This Row],[Class]],""))</f>
        <v>CD P</v>
      </c>
      <c r="F171" s="17" t="s">
        <v>137</v>
      </c>
      <c r="G171" s="17" t="s">
        <v>171</v>
      </c>
      <c r="H171" s="17" t="s">
        <v>276</v>
      </c>
      <c r="I171" s="16"/>
      <c r="J171" s="16" t="s">
        <v>147</v>
      </c>
      <c r="K171" s="15" t="s">
        <v>378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6" t="s">
        <v>35</v>
      </c>
      <c r="D172" s="14" t="b">
        <f>ISNUMBER(IndexTbl[[#This Row],[Class]])</f>
        <v>0</v>
      </c>
      <c r="E172" s="24" t="str">
        <f>TRIM(IndexTbl[[#This Row],[Prefix]]&amp;IF(NOT(IndexTbl[[#This Row],[Dewey Number]])," "&amp;IndexTbl[[#This Row],[Class]],""))</f>
        <v>CD R</v>
      </c>
      <c r="F172" s="17" t="s">
        <v>137</v>
      </c>
      <c r="G172" s="17" t="s">
        <v>172</v>
      </c>
      <c r="H172" s="17" t="s">
        <v>276</v>
      </c>
      <c r="I172" s="16"/>
      <c r="J172" s="16" t="s">
        <v>147</v>
      </c>
      <c r="K172" s="15" t="s">
        <v>379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6" t="s">
        <v>35</v>
      </c>
      <c r="D173" s="14" t="b">
        <f>ISNUMBER(IndexTbl[[#This Row],[Class]])</f>
        <v>0</v>
      </c>
      <c r="E173" s="24" t="str">
        <f>TRIM(IndexTbl[[#This Row],[Prefix]]&amp;IF(NOT(IndexTbl[[#This Row],[Dewey Number]])," "&amp;IndexTbl[[#This Row],[Class]],""))</f>
        <v>CD S</v>
      </c>
      <c r="F173" s="17" t="s">
        <v>137</v>
      </c>
      <c r="G173" s="17" t="s">
        <v>173</v>
      </c>
      <c r="H173" s="17" t="s">
        <v>276</v>
      </c>
      <c r="I173" s="16"/>
      <c r="J173" s="16" t="s">
        <v>147</v>
      </c>
      <c r="K173" s="15" t="s">
        <v>380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6" t="s">
        <v>35</v>
      </c>
      <c r="D174" s="14" t="b">
        <f>ISNUMBER(IndexTbl[[#This Row],[Class]])</f>
        <v>0</v>
      </c>
      <c r="E174" s="24" t="str">
        <f>TRIM(IndexTbl[[#This Row],[Prefix]]&amp;IF(NOT(IndexTbl[[#This Row],[Dewey Number]])," "&amp;IndexTbl[[#This Row],[Class]],""))</f>
        <v>CD U</v>
      </c>
      <c r="F174" s="17" t="s">
        <v>137</v>
      </c>
      <c r="G174" s="19" t="s">
        <v>174</v>
      </c>
      <c r="H174" s="17" t="s">
        <v>276</v>
      </c>
      <c r="I174" s="16"/>
      <c r="J174" s="16" t="s">
        <v>147</v>
      </c>
      <c r="K174" s="15" t="s">
        <v>381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20" t="s">
        <v>45</v>
      </c>
      <c r="D175" s="14" t="b">
        <f>ISNUMBER(IndexTbl[[#This Row],[Class]])</f>
        <v>0</v>
      </c>
      <c r="E175" s="24" t="str">
        <f>TRIM(IndexTbl[[#This Row],[Prefix]]&amp;IF(NOT(IndexTbl[[#This Row],[Dewey Number]])," "&amp;IndexTbl[[#This Row],[Class]],""))</f>
        <v/>
      </c>
      <c r="F175" s="17"/>
      <c r="G175" s="17"/>
      <c r="H175" s="17" t="s">
        <v>250</v>
      </c>
      <c r="I175" s="20"/>
      <c r="J175" s="20" t="s">
        <v>45</v>
      </c>
      <c r="K175" s="15" t="s">
        <v>303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4" t="s">
        <v>303</v>
      </c>
      <c r="D176" s="14" t="b">
        <f>ISNUMBER(IndexTbl[[#This Row],[Class]])</f>
        <v>0</v>
      </c>
      <c r="E176" s="24" t="str">
        <f>TRIM(IndexTbl[[#This Row],[Prefix]]&amp;IF(NOT(IndexTbl[[#This Row],[Dewey Number]])," "&amp;IndexTbl[[#This Row],[Class]],""))</f>
        <v/>
      </c>
      <c r="F176" s="13"/>
      <c r="G176" s="13"/>
      <c r="H176" s="17" t="s">
        <v>250</v>
      </c>
      <c r="I176" s="20"/>
      <c r="J176" s="20" t="s">
        <v>326</v>
      </c>
      <c r="K176" s="15" t="s">
        <v>404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6" t="s">
        <v>36</v>
      </c>
      <c r="D177" s="14" t="b">
        <f>ISNUMBER(IndexTbl[[#This Row],[Class]])</f>
        <v>0</v>
      </c>
      <c r="E177" s="24" t="str">
        <f>TRIM(IndexTbl[[#This Row],[Prefix]]&amp;IF(NOT(IndexTbl[[#This Row],[Dewey Number]])," "&amp;IndexTbl[[#This Row],[Class]],""))</f>
        <v/>
      </c>
      <c r="F177" s="17"/>
      <c r="G177" s="17"/>
      <c r="H177" s="17" t="s">
        <v>250</v>
      </c>
      <c r="I177" s="16"/>
      <c r="J177" s="16" t="s">
        <v>36</v>
      </c>
      <c r="K177" s="15" t="s">
        <v>417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4" t="s">
        <v>304</v>
      </c>
      <c r="D178" s="14" t="b">
        <f>ISNUMBER(IndexTbl[[#This Row],[Class]])</f>
        <v>0</v>
      </c>
      <c r="E178" s="24" t="str">
        <f>TRIM(IndexTbl[[#This Row],[Prefix]]&amp;IF(NOT(IndexTbl[[#This Row],[Dewey Number]])," "&amp;IndexTbl[[#This Row],[Class]],""))</f>
        <v>FIC</v>
      </c>
      <c r="F178" s="13"/>
      <c r="G178" s="13" t="s">
        <v>61</v>
      </c>
      <c r="H178" s="17" t="s">
        <v>251</v>
      </c>
      <c r="I178" s="16"/>
      <c r="J178" s="16" t="s">
        <v>304</v>
      </c>
      <c r="K178" s="15" t="s">
        <v>413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4" t="s">
        <v>304</v>
      </c>
      <c r="D179" s="16" t="b">
        <f>ISNUMBER(IndexTbl[[#This Row],[Class]])</f>
        <v>1</v>
      </c>
      <c r="E179" s="24" t="str">
        <f>TRIM(IndexTbl[[#This Row],[Prefix]]&amp;IF(NOT(IndexTbl[[#This Row],[Dewey Number]])," "&amp;IndexTbl[[#This Row],[Class]],""))</f>
        <v/>
      </c>
      <c r="F179" s="13"/>
      <c r="G179" s="13">
        <v>999.99</v>
      </c>
      <c r="H179" s="17" t="s">
        <v>251</v>
      </c>
      <c r="I179" s="16"/>
      <c r="J179" s="16" t="s">
        <v>308</v>
      </c>
      <c r="K179" s="15" t="s">
        <v>414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4" t="s">
        <v>306</v>
      </c>
      <c r="D180" s="16" t="b">
        <f>ISNUMBER(IndexTbl[[#This Row],[Class]])</f>
        <v>0</v>
      </c>
      <c r="E180" s="24" t="str">
        <f>TRIM(IndexTbl[[#This Row],[Prefix]]&amp;IF(NOT(IndexTbl[[#This Row],[Dewey Number]])," "&amp;IndexTbl[[#This Row],[Class]],""))</f>
        <v>TEEN</v>
      </c>
      <c r="F180" s="13" t="s">
        <v>205</v>
      </c>
      <c r="G180" s="13"/>
      <c r="H180" s="17" t="s">
        <v>251</v>
      </c>
      <c r="I180" s="16"/>
      <c r="J180" s="16" t="s">
        <v>306</v>
      </c>
      <c r="K180" s="15" t="s">
        <v>406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4" t="s">
        <v>306</v>
      </c>
      <c r="D181" s="16" t="b">
        <f>ISNUMBER(IndexTbl[[#This Row],[Class]])</f>
        <v>1</v>
      </c>
      <c r="E181" s="24" t="str">
        <f>TRIM(IndexTbl[[#This Row],[Prefix]]&amp;IF(NOT(IndexTbl[[#This Row],[Dewey Number]])," "&amp;IndexTbl[[#This Row],[Class]],""))</f>
        <v>TEEN</v>
      </c>
      <c r="F181" s="13" t="s">
        <v>205</v>
      </c>
      <c r="G181" s="13">
        <v>999.99</v>
      </c>
      <c r="H181" s="17" t="s">
        <v>251</v>
      </c>
      <c r="I181" s="16"/>
      <c r="J181" s="16" t="s">
        <v>307</v>
      </c>
      <c r="K181" s="15" t="s">
        <v>407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4" t="s">
        <v>302</v>
      </c>
      <c r="D182" s="16" t="b">
        <f>ISNUMBER(IndexTbl[[#This Row],[Class]])</f>
        <v>0</v>
      </c>
      <c r="E182" s="24" t="str">
        <f>TRIM(IndexTbl[[#This Row],[Prefix]]&amp;IF(NOT(IndexTbl[[#This Row],[Dewey Number]])," "&amp;IndexTbl[[#This Row],[Class]],""))</f>
        <v>J</v>
      </c>
      <c r="F182" s="13" t="s">
        <v>87</v>
      </c>
      <c r="G182" s="13"/>
      <c r="H182" s="17" t="s">
        <v>251</v>
      </c>
      <c r="I182" s="21"/>
      <c r="J182" s="21" t="s">
        <v>302</v>
      </c>
      <c r="K182" s="15" t="s">
        <v>401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4" t="s">
        <v>302</v>
      </c>
      <c r="D183" s="16" t="b">
        <f>ISNUMBER(IndexTbl[[#This Row],[Class]])</f>
        <v>0</v>
      </c>
      <c r="E183" s="24" t="str">
        <f>TRIM(IndexTbl[[#This Row],[Prefix]]&amp;IF(NOT(IndexTbl[[#This Row],[Dewey Number]])," "&amp;IndexTbl[[#This Row],[Class]],""))</f>
        <v>J SERIES</v>
      </c>
      <c r="F183" s="13" t="s">
        <v>87</v>
      </c>
      <c r="G183" s="13" t="s">
        <v>89</v>
      </c>
      <c r="H183" s="17" t="s">
        <v>251</v>
      </c>
      <c r="I183" s="21"/>
      <c r="J183" s="21" t="s">
        <v>324</v>
      </c>
      <c r="K183" s="15" t="s">
        <v>403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4" t="s">
        <v>302</v>
      </c>
      <c r="D184" s="16" t="b">
        <f>ISNUMBER(IndexTbl[[#This Row],[Class]])</f>
        <v>1</v>
      </c>
      <c r="E184" s="24" t="str">
        <f>TRIM(IndexTbl[[#This Row],[Prefix]]&amp;IF(NOT(IndexTbl[[#This Row],[Dewey Number]])," "&amp;IndexTbl[[#This Row],[Class]],""))</f>
        <v>J</v>
      </c>
      <c r="F184" s="13" t="s">
        <v>87</v>
      </c>
      <c r="G184" s="13">
        <v>999.99</v>
      </c>
      <c r="H184" s="17" t="s">
        <v>251</v>
      </c>
      <c r="I184" s="21"/>
      <c r="J184" s="21" t="s">
        <v>325</v>
      </c>
      <c r="K184" s="15" t="s">
        <v>402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6" t="s">
        <v>47</v>
      </c>
      <c r="D185" s="16" t="b">
        <f>ISNUMBER(IndexTbl[[#This Row],[Class]])</f>
        <v>1</v>
      </c>
      <c r="E185" s="24" t="str">
        <f>TRIM(IndexTbl[[#This Row],[Prefix]]&amp;IF(NOT(IndexTbl[[#This Row],[Dewey Number]])," "&amp;IndexTbl[[#This Row],[Class]],""))</f>
        <v>J REF</v>
      </c>
      <c r="F185" s="17" t="s">
        <v>132</v>
      </c>
      <c r="G185" s="17">
        <v>999.99</v>
      </c>
      <c r="H185" s="17" t="s">
        <v>251</v>
      </c>
      <c r="I185" s="16"/>
      <c r="J185" s="16" t="s">
        <v>131</v>
      </c>
      <c r="K185" s="15" t="s">
        <v>18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6" t="s">
        <v>176</v>
      </c>
      <c r="D186" s="22" t="b">
        <f>ISNUMBER(IndexTbl[[#This Row],[Class]])</f>
        <v>1</v>
      </c>
      <c r="E186" s="25" t="str">
        <f>TRIM(IndexTbl[[#This Row],[Prefix]]&amp;IF(NOT(IndexTbl[[#This Row],[Dewey Number]])," "&amp;IndexTbl[[#This Row],[Class]],""))</f>
        <v>REF</v>
      </c>
      <c r="F186" s="17" t="s">
        <v>177</v>
      </c>
      <c r="G186" s="17">
        <v>999.99</v>
      </c>
      <c r="H186" s="17" t="s">
        <v>251</v>
      </c>
      <c r="I186" s="16"/>
      <c r="J186" s="16" t="s">
        <v>175</v>
      </c>
      <c r="K186" s="15" t="s">
        <v>18</v>
      </c>
      <c r="M186"/>
      <c r="N186"/>
    </row>
    <row r="187" spans="1:14" ht="24.75" customHeight="1" thickTop="1" thickBot="1" x14ac:dyDescent="0.35">
      <c r="A187" s="28">
        <f>COUNTIF(IndexTbl[unique],IndexTbl[[#This Row],[unique]])</f>
        <v>1</v>
      </c>
      <c r="B187" s="2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6" t="s">
        <v>47</v>
      </c>
      <c r="D187" s="29" t="b">
        <f>ISNUMBER(IndexTbl[[#This Row],[Class]])</f>
        <v>1</v>
      </c>
      <c r="E187" s="30" t="str">
        <f>TRIM(IndexTbl[[#This Row],[Prefix]]&amp;IF(NOT(IndexTbl[[#This Row],[Dewey Number]])," "&amp;IndexTbl[[#This Row],[Class]],""))</f>
        <v>CD-ROM</v>
      </c>
      <c r="F187" s="17" t="s">
        <v>179</v>
      </c>
      <c r="G187" s="17">
        <v>999.99</v>
      </c>
      <c r="H187" s="17" t="s">
        <v>277</v>
      </c>
      <c r="I187" s="16"/>
      <c r="J187" s="16" t="s">
        <v>178</v>
      </c>
      <c r="K187" s="15" t="s">
        <v>18</v>
      </c>
      <c r="N187"/>
    </row>
    <row r="188" spans="1:14" ht="24.75" customHeight="1" thickTop="1" thickBot="1" x14ac:dyDescent="0.35">
      <c r="A188" s="28">
        <f>COUNTIF(IndexTbl[unique],IndexTbl[[#This Row],[unique]])</f>
        <v>1</v>
      </c>
      <c r="B188" s="29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6" t="s">
        <v>47</v>
      </c>
      <c r="D188" s="29" t="b">
        <f>ISNUMBER(IndexTbl[[#This Row],[Class]])</f>
        <v>1</v>
      </c>
      <c r="E188" s="30" t="str">
        <f>TRIM(IndexTbl[[#This Row],[Prefix]]&amp;IF(NOT(IndexTbl[[#This Row],[Dewey Number]])," "&amp;IndexTbl[[#This Row],[Class]],""))</f>
        <v>TEEN REF</v>
      </c>
      <c r="F188" s="17" t="s">
        <v>216</v>
      </c>
      <c r="G188" s="17">
        <v>999.99</v>
      </c>
      <c r="H188" s="17" t="s">
        <v>251</v>
      </c>
      <c r="I188" s="16"/>
      <c r="J188" s="16" t="s">
        <v>215</v>
      </c>
      <c r="K188" s="15" t="s">
        <v>18</v>
      </c>
    </row>
    <row r="189" spans="1:14" ht="24.75" customHeight="1" thickTop="1" thickBot="1" x14ac:dyDescent="0.35">
      <c r="A189" s="28">
        <f>COUNTIF(IndexTbl[unique],IndexTbl[[#This Row],[unique]])</f>
        <v>1</v>
      </c>
      <c r="B189" s="29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6"/>
      <c r="D189" s="29" t="b">
        <f>ISNUMBER(IndexTbl[[#This Row],[Class]])</f>
        <v>0</v>
      </c>
      <c r="E189" s="30" t="str">
        <f>TRIM(IndexTbl[[#This Row],[Prefix]]&amp;IF(NOT(IndexTbl[[#This Row],[Dewey Number]])," "&amp;IndexTbl[[#This Row],[Class]],""))</f>
        <v>TEEN EXPLORE</v>
      </c>
      <c r="F189" s="17" t="s">
        <v>243</v>
      </c>
      <c r="G189" s="17"/>
      <c r="H189" s="17" t="s">
        <v>250</v>
      </c>
      <c r="I189" s="16"/>
      <c r="J189" s="16" t="s">
        <v>242</v>
      </c>
      <c r="K189" s="15" t="s">
        <v>333</v>
      </c>
    </row>
    <row r="190" spans="1:14" ht="24.75" customHeight="1" thickTop="1" thickBot="1" x14ac:dyDescent="0.35">
      <c r="A190" s="28">
        <f>COUNTIF(IndexTbl[unique],IndexTbl[[#This Row],[unique]])</f>
        <v>1</v>
      </c>
      <c r="B190" s="29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6"/>
      <c r="D190" s="29" t="b">
        <f>ISNUMBER(IndexTbl[[#This Row],[Class]])</f>
        <v>0</v>
      </c>
      <c r="E190" s="30" t="str">
        <f>TRIM(IndexTbl[[#This Row],[Prefix]]&amp;IF(NOT(IndexTbl[[#This Row],[Dewey Number]])," "&amp;IndexTbl[[#This Row],[Class]],""))</f>
        <v>APBK</v>
      </c>
      <c r="F190" s="17" t="s">
        <v>245</v>
      </c>
      <c r="G190" s="17"/>
      <c r="H190" s="17" t="s">
        <v>250</v>
      </c>
      <c r="I190" s="20"/>
      <c r="J190" s="20" t="s">
        <v>244</v>
      </c>
      <c r="K190" s="15" t="s">
        <v>333</v>
      </c>
      <c r="L190"/>
    </row>
    <row r="191" spans="1:14" ht="24.75" customHeight="1" thickTop="1" thickBot="1" x14ac:dyDescent="0.35">
      <c r="A191" s="28">
        <f>COUNTIF(IndexTbl[unique],IndexTbl[[#This Row],[unique]])</f>
        <v>1</v>
      </c>
      <c r="B191" s="29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6"/>
      <c r="D191" s="29" t="b">
        <f>ISNUMBER(IndexTbl[[#This Row],[Class]])</f>
        <v>0</v>
      </c>
      <c r="E191" s="30" t="str">
        <f>TRIM(IndexTbl[[#This Row],[Prefix]]&amp;IF(NOT(IndexTbl[[#This Row],[Dewey Number]])," "&amp;IndexTbl[[#This Row],[Class]],""))</f>
        <v>TPBK</v>
      </c>
      <c r="F191" s="17" t="s">
        <v>247</v>
      </c>
      <c r="G191" s="17"/>
      <c r="H191" s="17" t="s">
        <v>250</v>
      </c>
      <c r="I191" s="20"/>
      <c r="J191" s="20" t="s">
        <v>246</v>
      </c>
      <c r="K191" s="15" t="s">
        <v>333</v>
      </c>
      <c r="L191"/>
    </row>
    <row r="192" spans="1:14" ht="24.75" customHeight="1" thickTop="1" thickBot="1" x14ac:dyDescent="0.35">
      <c r="A192" s="28">
        <f>COUNTIF(IndexTbl[unique],IndexTbl[[#This Row],[unique]])</f>
        <v>1</v>
      </c>
      <c r="B192" s="29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6" t="s">
        <v>327</v>
      </c>
      <c r="D192" s="29" t="b">
        <f>ISNUMBER(IndexTbl[[#This Row],[Class]])</f>
        <v>0</v>
      </c>
      <c r="E192" s="30" t="str">
        <f>TRIM(IndexTbl[[#This Row],[Prefix]]&amp;IF(NOT(IndexTbl[[#This Row],[Dewey Number]])," "&amp;IndexTbl[[#This Row],[Class]],""))</f>
        <v/>
      </c>
      <c r="F192" s="17"/>
      <c r="G192" s="17"/>
      <c r="H192" s="17"/>
      <c r="I192" s="16"/>
      <c r="J192" s="14" t="s">
        <v>330</v>
      </c>
      <c r="K192" s="15" t="s">
        <v>333</v>
      </c>
      <c r="L192"/>
    </row>
    <row r="193" spans="12:12" ht="24.75" customHeight="1" thickTop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sheetProtection formatCells="0" formatColumns="0" formatRows="0" insertRows="0" deleteRows="0" sort="0" autoFilter="0"/>
  <conditionalFormatting sqref="A193:K505 A2:B192 D2:E192">
    <cfRule type="expression" dxfId="6" priority="11">
      <formula>$A2&gt;1</formula>
    </cfRule>
  </conditionalFormatting>
  <conditionalFormatting sqref="C2:C192">
    <cfRule type="expression" dxfId="4" priority="5">
      <formula>$A2&gt;1</formula>
    </cfRule>
  </conditionalFormatting>
  <conditionalFormatting sqref="F2:K146 F175:K192 F147:J174">
    <cfRule type="expression" dxfId="3" priority="4">
      <formula>$A2&gt;1</formula>
    </cfRule>
  </conditionalFormatting>
  <conditionalFormatting sqref="K2:K146 K175:K192">
    <cfRule type="expression" dxfId="2" priority="3">
      <formula>NOT(IFERROR(MATCH($K2,INDIRECT("SectionsTbl[Section Description]"),0)&gt;0,FALSE))</formula>
    </cfRule>
  </conditionalFormatting>
  <conditionalFormatting sqref="K147:K174">
    <cfRule type="expression" dxfId="1" priority="1">
      <formula>NOT(IFERROR(MATCH($K147,INDIRECT("SectionsTbl[Section Description]"),0)&gt;0,FALSE))</formula>
    </cfRule>
  </conditionalFormatting>
  <conditionalFormatting sqref="K147:K174">
    <cfRule type="expression" dxfId="0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331</v>
      </c>
    </row>
    <row r="2" spans="1:4" ht="12.75" x14ac:dyDescent="0.2">
      <c r="A2" t="s">
        <v>334</v>
      </c>
      <c r="B2" s="4"/>
    </row>
    <row r="3" spans="1:4" ht="12.75" x14ac:dyDescent="0.2">
      <c r="A3" t="s">
        <v>335</v>
      </c>
      <c r="B3" s="4"/>
    </row>
    <row r="4" spans="1:4" ht="12.75" x14ac:dyDescent="0.2">
      <c r="A4" t="s">
        <v>336</v>
      </c>
      <c r="B4" s="4"/>
    </row>
    <row r="5" spans="1:4" ht="12.75" x14ac:dyDescent="0.2">
      <c r="A5" t="s">
        <v>337</v>
      </c>
      <c r="B5" s="4"/>
      <c r="C5" s="6"/>
    </row>
    <row r="6" spans="1:4" ht="12.75" x14ac:dyDescent="0.2">
      <c r="A6" t="s">
        <v>338</v>
      </c>
      <c r="B6" s="4"/>
    </row>
    <row r="7" spans="1:4" ht="12.75" x14ac:dyDescent="0.2">
      <c r="A7" t="s">
        <v>339</v>
      </c>
      <c r="B7" s="4"/>
    </row>
    <row r="8" spans="1:4" ht="12.75" x14ac:dyDescent="0.2">
      <c r="A8" t="s">
        <v>340</v>
      </c>
    </row>
    <row r="9" spans="1:4" ht="12.75" x14ac:dyDescent="0.2">
      <c r="A9" t="s">
        <v>341</v>
      </c>
    </row>
    <row r="10" spans="1:4" ht="12.75" x14ac:dyDescent="0.2">
      <c r="A10" t="s">
        <v>342</v>
      </c>
    </row>
    <row r="11" spans="1:4" ht="12.75" x14ac:dyDescent="0.2">
      <c r="A11" t="s">
        <v>343</v>
      </c>
    </row>
    <row r="12" spans="1:4" ht="12.75" x14ac:dyDescent="0.2">
      <c r="A12" t="s">
        <v>344</v>
      </c>
    </row>
    <row r="13" spans="1:4" ht="12.75" x14ac:dyDescent="0.2">
      <c r="A13" t="s">
        <v>345</v>
      </c>
    </row>
    <row r="14" spans="1:4" ht="12.75" x14ac:dyDescent="0.2">
      <c r="A14" t="s">
        <v>346</v>
      </c>
    </row>
    <row r="15" spans="1:4" ht="12.75" x14ac:dyDescent="0.2">
      <c r="A15" t="s">
        <v>347</v>
      </c>
    </row>
    <row r="16" spans="1:4" ht="12.75" x14ac:dyDescent="0.2">
      <c r="A16" t="s">
        <v>348</v>
      </c>
    </row>
    <row r="17" spans="1:1" ht="12.75" x14ac:dyDescent="0.2">
      <c r="A17" t="s">
        <v>349</v>
      </c>
    </row>
    <row r="18" spans="1:1" ht="12.75" x14ac:dyDescent="0.2">
      <c r="A18" t="s">
        <v>350</v>
      </c>
    </row>
    <row r="19" spans="1:1" ht="12.75" x14ac:dyDescent="0.2">
      <c r="A19" t="s">
        <v>351</v>
      </c>
    </row>
    <row r="20" spans="1:1" ht="12.75" x14ac:dyDescent="0.2">
      <c r="A20" t="s">
        <v>352</v>
      </c>
    </row>
    <row r="21" spans="1:1" ht="12.75" x14ac:dyDescent="0.2">
      <c r="A21" t="s">
        <v>353</v>
      </c>
    </row>
    <row r="22" spans="1:1" ht="12.75" x14ac:dyDescent="0.2">
      <c r="A22" t="s">
        <v>142</v>
      </c>
    </row>
    <row r="23" spans="1:1" ht="12.75" x14ac:dyDescent="0.2">
      <c r="A23" t="s">
        <v>354</v>
      </c>
    </row>
    <row r="24" spans="1:1" ht="12.75" x14ac:dyDescent="0.2">
      <c r="A24" t="s">
        <v>355</v>
      </c>
    </row>
    <row r="25" spans="1:1" ht="12.75" x14ac:dyDescent="0.2">
      <c r="A25" t="s">
        <v>356</v>
      </c>
    </row>
    <row r="26" spans="1:1" ht="12.75" x14ac:dyDescent="0.2">
      <c r="A26" t="s">
        <v>357</v>
      </c>
    </row>
    <row r="27" spans="1:1" ht="12.75" x14ac:dyDescent="0.2">
      <c r="A27" t="s">
        <v>358</v>
      </c>
    </row>
    <row r="28" spans="1:1" ht="12.75" x14ac:dyDescent="0.2">
      <c r="A28" t="s">
        <v>359</v>
      </c>
    </row>
    <row r="29" spans="1:1" ht="12.75" x14ac:dyDescent="0.2">
      <c r="A29" t="s">
        <v>360</v>
      </c>
    </row>
    <row r="30" spans="1:1" ht="12.75" x14ac:dyDescent="0.2">
      <c r="A30" t="s">
        <v>361</v>
      </c>
    </row>
    <row r="31" spans="1:1" ht="12.75" x14ac:dyDescent="0.2">
      <c r="A31" t="s">
        <v>362</v>
      </c>
    </row>
    <row r="32" spans="1:1" ht="12.75" x14ac:dyDescent="0.2">
      <c r="A32" t="s">
        <v>363</v>
      </c>
    </row>
    <row r="33" spans="1:1" ht="12.75" x14ac:dyDescent="0.2">
      <c r="A33" t="s">
        <v>364</v>
      </c>
    </row>
    <row r="34" spans="1:1" ht="12.75" x14ac:dyDescent="0.2">
      <c r="A34" t="s">
        <v>365</v>
      </c>
    </row>
    <row r="35" spans="1:1" ht="12.75" x14ac:dyDescent="0.2">
      <c r="A35" t="s">
        <v>366</v>
      </c>
    </row>
    <row r="36" spans="1:1" ht="12.75" x14ac:dyDescent="0.2">
      <c r="A36" t="s">
        <v>367</v>
      </c>
    </row>
    <row r="37" spans="1:1" ht="12.75" x14ac:dyDescent="0.2">
      <c r="A37" t="s">
        <v>368</v>
      </c>
    </row>
    <row r="38" spans="1:1" ht="12.75" x14ac:dyDescent="0.2">
      <c r="A38" t="s">
        <v>369</v>
      </c>
    </row>
    <row r="39" spans="1:1" ht="12.75" x14ac:dyDescent="0.2">
      <c r="A39" t="s">
        <v>370</v>
      </c>
    </row>
    <row r="40" spans="1:1" ht="12.75" x14ac:dyDescent="0.2">
      <c r="A40" t="s">
        <v>371</v>
      </c>
    </row>
    <row r="41" spans="1:1" ht="12.75" x14ac:dyDescent="0.2">
      <c r="A41" t="s">
        <v>372</v>
      </c>
    </row>
    <row r="42" spans="1:1" ht="12.75" x14ac:dyDescent="0.2">
      <c r="A42" t="s">
        <v>373</v>
      </c>
    </row>
    <row r="43" spans="1:1" ht="12.75" x14ac:dyDescent="0.2">
      <c r="A43" t="s">
        <v>374</v>
      </c>
    </row>
    <row r="44" spans="1:1" ht="12.75" x14ac:dyDescent="0.2">
      <c r="A44" t="s">
        <v>375</v>
      </c>
    </row>
    <row r="45" spans="1:1" ht="12.75" x14ac:dyDescent="0.2">
      <c r="A45" t="s">
        <v>376</v>
      </c>
    </row>
    <row r="46" spans="1:1" ht="12.75" x14ac:dyDescent="0.2">
      <c r="A46" t="s">
        <v>377</v>
      </c>
    </row>
    <row r="47" spans="1:1" ht="12.75" x14ac:dyDescent="0.2">
      <c r="A47" t="s">
        <v>378</v>
      </c>
    </row>
    <row r="48" spans="1:1" ht="12.75" x14ac:dyDescent="0.2">
      <c r="A48" t="s">
        <v>379</v>
      </c>
    </row>
    <row r="49" spans="1:1" ht="12.75" x14ac:dyDescent="0.2">
      <c r="A49" t="s">
        <v>380</v>
      </c>
    </row>
    <row r="50" spans="1:1" ht="12.75" x14ac:dyDescent="0.2">
      <c r="A50" t="s">
        <v>381</v>
      </c>
    </row>
    <row r="51" spans="1:1" ht="12.75" x14ac:dyDescent="0.2">
      <c r="A51" t="s">
        <v>18</v>
      </c>
    </row>
    <row r="52" spans="1:1" ht="12.75" x14ac:dyDescent="0.2">
      <c r="A52" t="s">
        <v>382</v>
      </c>
    </row>
    <row r="53" spans="1:1" ht="12.75" x14ac:dyDescent="0.2">
      <c r="A53" t="s">
        <v>383</v>
      </c>
    </row>
    <row r="54" spans="1:1" ht="12.75" x14ac:dyDescent="0.2">
      <c r="A54" t="s">
        <v>384</v>
      </c>
    </row>
    <row r="55" spans="1:1" ht="12.75" x14ac:dyDescent="0.2">
      <c r="A55" t="s">
        <v>385</v>
      </c>
    </row>
    <row r="56" spans="1:1" ht="12.75" x14ac:dyDescent="0.2">
      <c r="A56" t="s">
        <v>386</v>
      </c>
    </row>
    <row r="57" spans="1:1" ht="12.75" x14ac:dyDescent="0.2">
      <c r="A57" t="s">
        <v>387</v>
      </c>
    </row>
    <row r="58" spans="1:1" ht="12.75" x14ac:dyDescent="0.2">
      <c r="A58" t="s">
        <v>388</v>
      </c>
    </row>
    <row r="59" spans="1:1" ht="12.75" x14ac:dyDescent="0.2">
      <c r="A59" t="s">
        <v>389</v>
      </c>
    </row>
    <row r="60" spans="1:1" ht="12.75" x14ac:dyDescent="0.2">
      <c r="A60" t="s">
        <v>248</v>
      </c>
    </row>
    <row r="61" spans="1:1" ht="12.75" x14ac:dyDescent="0.2">
      <c r="A61" t="s">
        <v>390</v>
      </c>
    </row>
    <row r="62" spans="1:1" ht="12.75" x14ac:dyDescent="0.2">
      <c r="A62" t="s">
        <v>56</v>
      </c>
    </row>
    <row r="63" spans="1:1" ht="12.75" x14ac:dyDescent="0.2">
      <c r="A63" t="s">
        <v>0</v>
      </c>
    </row>
    <row r="64" spans="1:1" ht="12.75" x14ac:dyDescent="0.2">
      <c r="A64" t="s">
        <v>391</v>
      </c>
    </row>
    <row r="65" spans="1:1" ht="12.75" x14ac:dyDescent="0.2">
      <c r="A65" t="s">
        <v>392</v>
      </c>
    </row>
    <row r="66" spans="1:1" ht="12.75" x14ac:dyDescent="0.2">
      <c r="A66" t="s">
        <v>393</v>
      </c>
    </row>
    <row r="67" spans="1:1" ht="12.75" x14ac:dyDescent="0.2">
      <c r="A67" t="s">
        <v>394</v>
      </c>
    </row>
    <row r="68" spans="1:1" ht="12.75" x14ac:dyDescent="0.2">
      <c r="A68" t="s">
        <v>395</v>
      </c>
    </row>
    <row r="69" spans="1:1" ht="12.75" x14ac:dyDescent="0.2">
      <c r="A69" t="s">
        <v>396</v>
      </c>
    </row>
    <row r="70" spans="1:1" ht="12.75" x14ac:dyDescent="0.2">
      <c r="A70" t="s">
        <v>397</v>
      </c>
    </row>
    <row r="71" spans="1:1" ht="12.75" x14ac:dyDescent="0.2">
      <c r="A71" t="s">
        <v>398</v>
      </c>
    </row>
    <row r="72" spans="1:1" ht="12.75" x14ac:dyDescent="0.2">
      <c r="A72" t="s">
        <v>399</v>
      </c>
    </row>
    <row r="73" spans="1:1" ht="12.75" x14ac:dyDescent="0.2">
      <c r="A73" t="s">
        <v>400</v>
      </c>
    </row>
    <row r="74" spans="1:1" ht="12.75" x14ac:dyDescent="0.2">
      <c r="A74" t="s">
        <v>86</v>
      </c>
    </row>
    <row r="75" spans="1:1" ht="12.75" x14ac:dyDescent="0.2">
      <c r="A75" t="s">
        <v>401</v>
      </c>
    </row>
    <row r="76" spans="1:1" ht="12.75" x14ac:dyDescent="0.2">
      <c r="A76" t="s">
        <v>402</v>
      </c>
    </row>
    <row r="77" spans="1:1" ht="12.75" x14ac:dyDescent="0.2">
      <c r="A77" t="s">
        <v>403</v>
      </c>
    </row>
    <row r="78" spans="1:1" ht="12.75" x14ac:dyDescent="0.2">
      <c r="A78" t="s">
        <v>404</v>
      </c>
    </row>
    <row r="79" spans="1:1" ht="12.75" x14ac:dyDescent="0.2">
      <c r="A79" t="s">
        <v>21</v>
      </c>
    </row>
    <row r="80" spans="1:1" ht="12.75" x14ac:dyDescent="0.2">
      <c r="A80" t="s">
        <v>405</v>
      </c>
    </row>
    <row r="81" spans="1:1" ht="12.75" x14ac:dyDescent="0.2">
      <c r="A81" t="s">
        <v>406</v>
      </c>
    </row>
    <row r="82" spans="1:1" ht="12.75" x14ac:dyDescent="0.2">
      <c r="A82" t="s">
        <v>407</v>
      </c>
    </row>
    <row r="83" spans="1:1" ht="12.75" x14ac:dyDescent="0.2">
      <c r="A83" s="27" t="s">
        <v>408</v>
      </c>
    </row>
    <row r="84" spans="1:1" ht="12.75" x14ac:dyDescent="0.2">
      <c r="A84" s="27" t="s">
        <v>409</v>
      </c>
    </row>
    <row r="85" spans="1:1" ht="12.75" x14ac:dyDescent="0.2">
      <c r="A85" s="27" t="s">
        <v>410</v>
      </c>
    </row>
    <row r="86" spans="1:1" ht="12.75" x14ac:dyDescent="0.2">
      <c r="A86" t="s">
        <v>303</v>
      </c>
    </row>
    <row r="87" spans="1:1" ht="12.75" x14ac:dyDescent="0.2">
      <c r="A87" t="s">
        <v>411</v>
      </c>
    </row>
    <row r="88" spans="1:1" ht="12.75" x14ac:dyDescent="0.2">
      <c r="A88" t="s">
        <v>133</v>
      </c>
    </row>
    <row r="89" spans="1:1" ht="12.75" x14ac:dyDescent="0.2">
      <c r="A89" t="s">
        <v>412</v>
      </c>
    </row>
    <row r="90" spans="1:1" ht="12.75" x14ac:dyDescent="0.2">
      <c r="A90" t="s">
        <v>413</v>
      </c>
    </row>
    <row r="91" spans="1:1" ht="12.75" x14ac:dyDescent="0.2">
      <c r="A91" t="s">
        <v>414</v>
      </c>
    </row>
    <row r="92" spans="1:1" ht="12.75" x14ac:dyDescent="0.2">
      <c r="A92" t="s">
        <v>22</v>
      </c>
    </row>
    <row r="93" spans="1:1" ht="12.75" x14ac:dyDescent="0.2">
      <c r="A93" t="s">
        <v>415</v>
      </c>
    </row>
    <row r="94" spans="1:1" ht="12.75" x14ac:dyDescent="0.2">
      <c r="A94" t="s">
        <v>416</v>
      </c>
    </row>
    <row r="95" spans="1:1" ht="12.75" x14ac:dyDescent="0.2">
      <c r="A95" t="s">
        <v>417</v>
      </c>
    </row>
    <row r="96" spans="1:1" ht="12.75" x14ac:dyDescent="0.2">
      <c r="A96" t="s">
        <v>333</v>
      </c>
    </row>
    <row r="97" spans="1:1" ht="12.75" x14ac:dyDescent="0.2">
      <c r="A97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2016-08-26T23:04:00Z</dcterms:modified>
</cp:coreProperties>
</file>