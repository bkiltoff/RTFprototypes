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Index!$E$1:$E$186</definedName>
  </definedNames>
  <calcPr calcId="162913"/>
  <fileRecoveryPr autoRecover="0"/>
</workbook>
</file>

<file path=xl/calcChain.xml><?xml version="1.0" encoding="utf-8"?>
<calcChain xmlns="http://schemas.openxmlformats.org/spreadsheetml/2006/main">
  <c r="D4" i="13" l="1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4" i="13" l="1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<sst xmlns="http://schemas.openxmlformats.org/spreadsheetml/2006/main" count="1009" uniqueCount="338">
  <si>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</si>
  <si>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</si>
  <si>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</si>
  <si>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</si>
  <si>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</si>
  <si>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</si>
  <si>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</si>
  <si>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</si>
  <si>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</si>
  <si>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</si>
  <si>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</si>
  <si>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</si>
  <si>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</si>
  <si>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</si>
  <si>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</si>
  <si>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</si>
  <si>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</si>
  <si>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</si>
  <si>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</si>
  <si>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</si>
  <si>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</si>
  <si>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</si>
  <si>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</si>
  <si>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</si>
  <si>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</si>
  <si>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</si>
  <si>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</si>
  <si>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</si>
  <si>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</si>
  <si>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</si>
  <si>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</si>
  <si>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</si>
  <si>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</si>
  <si>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</si>
  <si>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</si>
  <si>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</si>
  <si>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</si>
  <si>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</si>
  <si>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</si>
  <si>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</si>
  <si>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</si>
  <si>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</si>
  <si>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</si>
  <si>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</si>
  <si>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</si>
  <si>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</si>
  <si>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</si>
  <si>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</si>
  <si>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</si>
  <si>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</si>
  <si>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</si>
  <si>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</si>
  <si>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</si>
  <si>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</si>
  <si>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</si>
  <si>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</si>
  <si>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</si>
  <si>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</si>
  <si>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</si>
  <si>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</si>
  <si>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</si>
  <si>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</si>
  <si>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</si>
  <si>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</si>
  <si>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</si>
  <si>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</si>
  <si>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</si>
  <si>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</si>
  <si>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</si>
  <si>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</si>
  <si>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</si>
  <si>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</si>
  <si>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</si>
  <si>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</si>
  <si>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</si>
  <si>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</si>
  <si>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</si>
  <si>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</si>
  <si>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</si>
  <si>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</si>
  <si>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</si>
  <si>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</si>
  <si>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</si>
  <si>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</si>
  <si>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</si>
  <si>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</si>
  <si>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</si>
  <si>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</si>
  <si>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</si>
  <si>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</si>
  <si>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</si>
  <si>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</si>
  <si>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</si>
  <si>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</si>
  <si>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</si>
  <si>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</si>
  <si>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</si>
  <si>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</si>
  <si>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</si>
  <si>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</si>
  <si>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</si>
  <si>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</si>
  <si>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</si>
  <si>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</si>
  <si>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</si>
  <si>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</si>
  <si>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</si>
  <si>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</si>
  <si>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</si>
  <si>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</si>
  <si>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</si>
  <si>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</si>
  <si>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</si>
  <si>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</si>
  <si>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</si>
  <si>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</si>
  <si>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</si>
  <si>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</si>
  <si>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</si>
  <si>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</si>
  <si>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</si>
  <si>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</si>
  <si>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</si>
  <si>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</si>
  <si>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</si>
  <si>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</si>
  <si>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</si>
  <si>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</si>
  <si>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</si>
  <si>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</si>
  <si>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</si>
  <si>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</si>
  <si>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</si>
  <si>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</si>
  <si>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</si>
  <si>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</si>
  <si>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</si>
  <si>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</si>
  <si>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</si>
  <si>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</si>
  <si>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</si>
  <si>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</si>
  <si>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</si>
  <si>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</si>
  <si>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</si>
  <si>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</si>
  <si>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</si>
  <si>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</si>
  <si>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</si>
  <si>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</si>
  <si>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</si>
  <si>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</si>
  <si>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</si>
  <si>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</si>
  <si>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</si>
  <si>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</si>
  <si>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</si>
  <si>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</si>
  <si>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</si>
  <si>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</si>
  <si>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</si>
  <si>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</si>
  <si>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</si>
  <si>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</si>
  <si>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</si>
  <si>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</si>
  <si>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</si>
  <si>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</si>
  <si>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</si>
  <si>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</si>
  <si>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</si>
  <si>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</si>
  <si>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</si>
  <si>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</si>
  <si>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</si>
  <si>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</si>
  <si>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</si>
  <si>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</si>
  <si>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</si>
  <si>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</si>
  <si>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</si>
  <si>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</si>
  <si>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</si>
  <si>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</si>
  <si>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</si>
  <si>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</si>
  <si>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</si>
  <si>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</si>
  <si>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</si>
  <si>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</si>
  <si>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</si>
  <si>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</si>
  <si>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</si>
  <si>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</si>
  <si>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</si>
  <si>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</si>
  <si>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</si>
  <si>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</si>
  <si>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</si>
  <si>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</si>
  <si>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</si>
  <si>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</si>
  <si>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</si>
  <si>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</si>
  <si>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</si>
  <si>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</si>
  <si>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</si>
  <si>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</si>
  <si>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</si>
  <si>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</si>
  <si>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</si>
  <si>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</si>
  <si>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</si>
  <si>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</si>
  <si>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</si>
  <si>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</si>
  <si>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</si>
  <si>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</si>
  <si>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</si>
  <si>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</si>
  <si>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</si>
  <si>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</si>
  <si>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</si>
  <si>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</si>
  <si>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</si>
  <si>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</si>
  <si>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</si>
  <si>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</si>
  <si>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</si>
  <si>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</si>
  <si>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</si>
  <si>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</si>
  <si>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</si>
  <si>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</si>
  <si>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</si>
  <si>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</si>
  <si>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</si>
  <si>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</si>
  <si>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</si>
  <si>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</si>
  <si>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</si>
  <si>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</si>
  <si>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</si>
  <si>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</si>
  <si>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</si>
  <si>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</si>
  <si>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</si>
  <si>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</si>
  <si>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</si>
  <si>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</si>
  <si>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</si>
  <si>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</si>
  <si>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</si>
  <si>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</si>
  <si>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</si>
  <si>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</si>
  <si>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</si>
  <si>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</si>
  <si>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</si>
  <si>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</si>
  <si>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</si>
  <si>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</si>
  <si>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</si>
  <si>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</si>
  <si>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</si>
  <si>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</si>
  <si>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</si>
  <si>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</si>
  <si>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</si>
  <si>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</si>
  <si>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</si>
  <si>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</si>
  <si>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</si>
  <si>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</si>
  <si>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</si>
  <si>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</si>
  <si>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</si>
  <si>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</si>
  <si>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</si>
  <si>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</si>
  <si>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</si>
  <si>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</si>
  <si>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</si>
  <si>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</si>
  <si>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</si>
  <si>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</si>
  <si>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</si>
  <si>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</si>
  <si>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</si>
  <si>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</si>
  <si>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</si>
  <si>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</si>
  <si>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</si>
  <si>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</si>
  <si>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</si>
  <si>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</si>
  <si>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</si>
  <si>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</si>
  <si>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</si>
  <si>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</si>
  <si>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</si>
  <si>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</si>
  <si>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</si>
  <si>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</si>
  <si>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</si>
  <si>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</si>
  <si>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</si>
  <si>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</si>
  <si>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</si>
  <si>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</si>
  <si>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</si>
  <si>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</si>
  <si>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</si>
  <si>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</si>
  <si>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</si>
  <si>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</si>
  <si>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</si>
  <si>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</si>
  <si>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</si>
  <si>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</si>
  <si>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</si>
  <si>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</si>
  <si>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</si>
  <si>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</si>
  <si>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</si>
  <si>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</si>
  <si>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</si>
  <si>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</si>
  <si>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</si>
  <si>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</si>
  <si>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</si>
  <si>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</si>
  <si>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</si>
  <si>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</si>
  <si>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Debug</t>
  </si>
  <si>
    <t>Close Ranked Sections Table</t>
  </si>
  <si>
    <t>Close Index Table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</si>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</sst>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28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6" totalsRowShown="0" headerRowDxfId="17" dataDxfId="16" headerRowCellStyle="Normal 3" dataCellStyle="Normal 3">
  <autoFilter ref="A1:K186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U21" sqref="U21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38.25" thickBot="1" x14ac:dyDescent="0.35">
      <c r="A1" s="9" t="s">
        <v>331</v>
      </c>
      <c r="B1" s="10" t="s">
        <v>332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336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337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337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337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337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337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337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337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337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337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337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337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337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337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337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337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337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337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337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337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337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337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337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337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337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337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337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337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337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337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337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337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337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337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337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337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337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337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337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337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337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337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337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337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337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337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337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337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337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337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337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337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337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337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337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337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337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337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337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337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337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337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337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337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337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337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337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337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337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337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337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337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337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337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337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337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337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337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337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337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337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337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337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337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337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337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337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337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337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337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337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337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337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337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337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337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337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337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337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337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337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337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337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305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309</v>
      </c>
      <c r="G104" s="17"/>
      <c r="H104" s="17" t="s">
        <v>256</v>
      </c>
      <c r="I104" s="16"/>
      <c r="J104" s="16" t="s">
        <v>313</v>
      </c>
      <c r="K104" s="15" t="s">
        <v>337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305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309</v>
      </c>
      <c r="G105" s="17">
        <v>999.99</v>
      </c>
      <c r="H105" s="17" t="s">
        <v>251</v>
      </c>
      <c r="I105" s="16"/>
      <c r="J105" s="16" t="s">
        <v>314</v>
      </c>
      <c r="K105" s="15" t="s">
        <v>337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305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310</v>
      </c>
      <c r="G106" s="17"/>
      <c r="H106" s="17" t="s">
        <v>257</v>
      </c>
      <c r="I106" s="16"/>
      <c r="J106" s="16" t="s">
        <v>315</v>
      </c>
      <c r="K106" s="15" t="s">
        <v>337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305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310</v>
      </c>
      <c r="G107" s="17">
        <v>999.99</v>
      </c>
      <c r="H107" s="17" t="s">
        <v>251</v>
      </c>
      <c r="I107" s="16"/>
      <c r="J107" s="16" t="s">
        <v>316</v>
      </c>
      <c r="K107" s="15" t="s">
        <v>337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305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310</v>
      </c>
      <c r="G108" s="17" t="s">
        <v>58</v>
      </c>
      <c r="H108" s="17" t="s">
        <v>265</v>
      </c>
      <c r="I108" s="16"/>
      <c r="J108" s="16" t="s">
        <v>317</v>
      </c>
      <c r="K108" s="15" t="s">
        <v>337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305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311</v>
      </c>
      <c r="G109" s="17" t="s">
        <v>182</v>
      </c>
      <c r="H109" s="17" t="s">
        <v>267</v>
      </c>
      <c r="I109" s="16"/>
      <c r="J109" s="16" t="s">
        <v>318</v>
      </c>
      <c r="K109" s="15" t="s">
        <v>337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305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311</v>
      </c>
      <c r="G110" s="17">
        <v>999.99</v>
      </c>
      <c r="H110" s="17" t="s">
        <v>268</v>
      </c>
      <c r="I110" s="16"/>
      <c r="J110" s="16" t="s">
        <v>319</v>
      </c>
      <c r="K110" s="15" t="s">
        <v>337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305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311</v>
      </c>
      <c r="G111" s="17" t="s">
        <v>58</v>
      </c>
      <c r="H111" s="17" t="s">
        <v>265</v>
      </c>
      <c r="I111" s="16"/>
      <c r="J111" s="16" t="s">
        <v>323</v>
      </c>
      <c r="K111" s="15" t="s">
        <v>337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305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312</v>
      </c>
      <c r="G112" s="17"/>
      <c r="H112" s="17" t="s">
        <v>278</v>
      </c>
      <c r="I112" s="16"/>
      <c r="J112" s="16" t="s">
        <v>322</v>
      </c>
      <c r="K112" s="15" t="s">
        <v>337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305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312</v>
      </c>
      <c r="G113" s="17">
        <v>999.99</v>
      </c>
      <c r="H113" s="17" t="s">
        <v>279</v>
      </c>
      <c r="I113" s="16"/>
      <c r="J113" s="16" t="s">
        <v>321</v>
      </c>
      <c r="K113" s="15" t="s">
        <v>337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305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312</v>
      </c>
      <c r="G114" s="17" t="s">
        <v>58</v>
      </c>
      <c r="H114" s="17" t="s">
        <v>265</v>
      </c>
      <c r="I114" s="16"/>
      <c r="J114" s="16" t="s">
        <v>320</v>
      </c>
      <c r="K114" s="15" t="s">
        <v>337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337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337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337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337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337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337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337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337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337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337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337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337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301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337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337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337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337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337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337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337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337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337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337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337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337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337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337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337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337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337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337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337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337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337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337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337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337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337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337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337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337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337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337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337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337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337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337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337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337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337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337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337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R</v>
      </c>
      <c r="F166" s="17" t="s">
        <v>137</v>
      </c>
      <c r="G166" s="17" t="s">
        <v>172</v>
      </c>
      <c r="H166" s="17" t="s">
        <v>276</v>
      </c>
      <c r="I166" s="16"/>
      <c r="J166" s="16" t="s">
        <v>147</v>
      </c>
      <c r="K166" s="15" t="s">
        <v>337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S</v>
      </c>
      <c r="F167" s="17" t="s">
        <v>137</v>
      </c>
      <c r="G167" s="17" t="s">
        <v>173</v>
      </c>
      <c r="H167" s="17" t="s">
        <v>276</v>
      </c>
      <c r="I167" s="16"/>
      <c r="J167" s="16" t="s">
        <v>147</v>
      </c>
      <c r="K167" s="15" t="s">
        <v>337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U</v>
      </c>
      <c r="F168" s="17" t="s">
        <v>137</v>
      </c>
      <c r="G168" s="20" t="s">
        <v>174</v>
      </c>
      <c r="H168" s="17" t="s">
        <v>276</v>
      </c>
      <c r="I168" s="16"/>
      <c r="J168" s="16" t="s">
        <v>147</v>
      </c>
      <c r="K168" s="15" t="s">
        <v>337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69" s="21" t="s">
        <v>45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/>
      </c>
      <c r="F169" s="17"/>
      <c r="G169" s="17"/>
      <c r="H169" s="17" t="s">
        <v>250</v>
      </c>
      <c r="I169" s="21"/>
      <c r="J169" s="21" t="s">
        <v>45</v>
      </c>
      <c r="K169" s="15" t="s">
        <v>337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0" s="14" t="s">
        <v>303</v>
      </c>
      <c r="D170" s="14" t="b">
        <f>ISNUMBER(IndexTbl[[#This Row],[Class]])</f>
        <v>0</v>
      </c>
      <c r="E170" s="25" t="str">
        <f>TRIM(IndexTbl[[#This Row],[Prefix]]&amp;IF(NOT(IndexTbl[[#This Row],[Dewey Number]])," "&amp;IndexTbl[[#This Row],[Class]],""))</f>
        <v/>
      </c>
      <c r="F170" s="13"/>
      <c r="G170" s="13"/>
      <c r="H170" s="17" t="s">
        <v>250</v>
      </c>
      <c r="I170" s="21"/>
      <c r="J170" s="21" t="s">
        <v>326</v>
      </c>
      <c r="K170" s="15" t="s">
        <v>337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1" s="16" t="s">
        <v>36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16"/>
      <c r="J171" s="16" t="s">
        <v>36</v>
      </c>
      <c r="K171" s="15" t="s">
        <v>337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2" s="14" t="s">
        <v>304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>FIC</v>
      </c>
      <c r="F172" s="13"/>
      <c r="G172" s="13" t="s">
        <v>61</v>
      </c>
      <c r="H172" s="17" t="s">
        <v>251</v>
      </c>
      <c r="I172" s="16"/>
      <c r="J172" s="16" t="s">
        <v>304</v>
      </c>
      <c r="K172" s="15" t="s">
        <v>337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3" s="14" t="s">
        <v>304</v>
      </c>
      <c r="D173" s="14" t="b">
        <f>ISNUMBER(IndexTbl[[#This Row],[Class]])</f>
        <v>1</v>
      </c>
      <c r="E173" s="25" t="str">
        <f>TRIM(IndexTbl[[#This Row],[Prefix]]&amp;IF(NOT(IndexTbl[[#This Row],[Dewey Number]])," "&amp;IndexTbl[[#This Row],[Class]],""))</f>
        <v/>
      </c>
      <c r="F173" s="13"/>
      <c r="G173" s="13">
        <v>999.99</v>
      </c>
      <c r="H173" s="17" t="s">
        <v>251</v>
      </c>
      <c r="I173" s="16"/>
      <c r="J173" s="16" t="s">
        <v>308</v>
      </c>
      <c r="K173" s="15" t="s">
        <v>337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4" s="14" t="s">
        <v>306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TEEN</v>
      </c>
      <c r="F174" s="13" t="s">
        <v>205</v>
      </c>
      <c r="G174" s="13"/>
      <c r="H174" s="17" t="s">
        <v>251</v>
      </c>
      <c r="I174" s="16"/>
      <c r="J174" s="16" t="s">
        <v>306</v>
      </c>
      <c r="K174" s="15" t="s">
        <v>337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5" s="14" t="s">
        <v>306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>TEEN</v>
      </c>
      <c r="F175" s="13" t="s">
        <v>205</v>
      </c>
      <c r="G175" s="13">
        <v>999.99</v>
      </c>
      <c r="H175" s="17" t="s">
        <v>251</v>
      </c>
      <c r="I175" s="16"/>
      <c r="J175" s="16" t="s">
        <v>307</v>
      </c>
      <c r="K175" s="15" t="s">
        <v>337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6" s="14" t="s">
        <v>302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J</v>
      </c>
      <c r="F176" s="13" t="s">
        <v>87</v>
      </c>
      <c r="G176" s="13"/>
      <c r="H176" s="17" t="s">
        <v>251</v>
      </c>
      <c r="I176" s="22"/>
      <c r="J176" s="22" t="s">
        <v>302</v>
      </c>
      <c r="K176" s="15" t="s">
        <v>337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7" s="14" t="s">
        <v>302</v>
      </c>
      <c r="D177" s="14" t="b">
        <f>ISNUMBER(IndexTbl[[#This Row],[Class]])</f>
        <v>0</v>
      </c>
      <c r="E177" s="25" t="str">
        <f>TRIM(IndexTbl[[#This Row],[Prefix]]&amp;IF(NOT(IndexTbl[[#This Row],[Dewey Number]])," "&amp;IndexTbl[[#This Row],[Class]],""))</f>
        <v>J SERIES</v>
      </c>
      <c r="F177" s="13" t="s">
        <v>87</v>
      </c>
      <c r="G177" s="13" t="s">
        <v>89</v>
      </c>
      <c r="H177" s="17" t="s">
        <v>251</v>
      </c>
      <c r="I177" s="22"/>
      <c r="J177" s="22" t="s">
        <v>324</v>
      </c>
      <c r="K177" s="15" t="s">
        <v>337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8" s="14" t="s">
        <v>302</v>
      </c>
      <c r="D178" s="14" t="b">
        <f>ISNUMBER(IndexTbl[[#This Row],[Class]])</f>
        <v>1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>
        <v>999.99</v>
      </c>
      <c r="H178" s="17" t="s">
        <v>251</v>
      </c>
      <c r="I178" s="22"/>
      <c r="J178" s="22" t="s">
        <v>325</v>
      </c>
      <c r="K178" s="15" t="s">
        <v>337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79" s="16" t="s">
        <v>47</v>
      </c>
      <c r="D179" s="16" t="b">
        <f>ISNUMBER(IndexTbl[[#This Row],[Class]])</f>
        <v>1</v>
      </c>
      <c r="E179" s="25" t="str">
        <f>TRIM(IndexTbl[[#This Row],[Prefix]]&amp;IF(NOT(IndexTbl[[#This Row],[Dewey Number]])," "&amp;IndexTbl[[#This Row],[Class]],""))</f>
        <v>J REF</v>
      </c>
      <c r="F179" s="17" t="s">
        <v>132</v>
      </c>
      <c r="G179" s="17">
        <v>999.99</v>
      </c>
      <c r="H179" s="17" t="s">
        <v>251</v>
      </c>
      <c r="I179" s="16"/>
      <c r="J179" s="16" t="s">
        <v>131</v>
      </c>
      <c r="K179" s="15" t="s">
        <v>337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0" s="16" t="s">
        <v>176</v>
      </c>
      <c r="D180" s="16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REF</v>
      </c>
      <c r="F180" s="17" t="s">
        <v>177</v>
      </c>
      <c r="G180" s="17">
        <v>999.99</v>
      </c>
      <c r="H180" s="17" t="s">
        <v>251</v>
      </c>
      <c r="I180" s="16"/>
      <c r="J180" s="16" t="s">
        <v>175</v>
      </c>
      <c r="K180" s="15" t="s">
        <v>337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CD-ROM</v>
      </c>
      <c r="F181" s="17" t="s">
        <v>179</v>
      </c>
      <c r="G181" s="17">
        <v>999.99</v>
      </c>
      <c r="H181" s="17" t="s">
        <v>277</v>
      </c>
      <c r="I181" s="16"/>
      <c r="J181" s="16" t="s">
        <v>178</v>
      </c>
      <c r="K181" s="15" t="s">
        <v>337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2" s="16" t="s">
        <v>47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TEEN REF</v>
      </c>
      <c r="F182" s="17" t="s">
        <v>216</v>
      </c>
      <c r="G182" s="17">
        <v>999.99</v>
      </c>
      <c r="H182" s="17" t="s">
        <v>251</v>
      </c>
      <c r="I182" s="16"/>
      <c r="J182" s="16" t="s">
        <v>215</v>
      </c>
      <c r="K182" s="15" t="s">
        <v>337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3" s="16"/>
      <c r="D183" s="16" t="b">
        <f>ISNUMBER(IndexTbl[[#This Row],[Class]])</f>
        <v>0</v>
      </c>
      <c r="E183" s="25" t="str">
        <f>TRIM(IndexTbl[[#This Row],[Prefix]]&amp;IF(NOT(IndexTbl[[#This Row],[Dewey Number]])," "&amp;IndexTbl[[#This Row],[Class]],""))</f>
        <v>TEEN EXPLORE</v>
      </c>
      <c r="F183" s="17" t="s">
        <v>243</v>
      </c>
      <c r="G183" s="17"/>
      <c r="H183" s="17" t="s">
        <v>250</v>
      </c>
      <c r="I183" s="16"/>
      <c r="J183" s="16" t="s">
        <v>242</v>
      </c>
      <c r="K183" s="15" t="s">
        <v>337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4" s="16"/>
      <c r="D184" s="16" t="b">
        <f>ISNUMBER(IndexTbl[[#This Row],[Class]])</f>
        <v>0</v>
      </c>
      <c r="E184" s="25" t="str">
        <f>TRIM(IndexTbl[[#This Row],[Prefix]]&amp;IF(NOT(IndexTbl[[#This Row],[Dewey Number]])," "&amp;IndexTbl[[#This Row],[Class]],""))</f>
        <v>APBK</v>
      </c>
      <c r="F184" s="17" t="s">
        <v>245</v>
      </c>
      <c r="G184" s="17"/>
      <c r="H184" s="17" t="s">
        <v>250</v>
      </c>
      <c r="I184" s="21"/>
      <c r="J184" s="21" t="s">
        <v>244</v>
      </c>
      <c r="K184" s="15" t="s">
        <v>337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TPBK</v>
      </c>
      <c r="F185" s="17" t="s">
        <v>247</v>
      </c>
      <c r="G185" s="17"/>
      <c r="H185" s="17" t="s">
        <v>250</v>
      </c>
      <c r="I185" s="21"/>
      <c r="J185" s="21" t="s">
        <v>246</v>
      </c>
      <c r="K185" s="15" t="s">
        <v>337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6" s="16" t="s">
        <v>330</v>
      </c>
      <c r="D186" s="23" t="b">
        <f>ISNUMBER(IndexTbl[[#This Row],[Class]])</f>
        <v>0</v>
      </c>
      <c r="E186" s="26" t="str">
        <f>TRIM(IndexTbl[[#This Row],[Prefix]]&amp;IF(NOT(IndexTbl[[#This Row],[Dewey Number]])," "&amp;IndexTbl[[#This Row],[Class]],""))</f>
        <v/>
      </c>
      <c r="F186" s="17"/>
      <c r="G186" s="17"/>
      <c r="H186" s="17"/>
      <c r="I186" s="16"/>
      <c r="J186" s="14" t="s">
        <v>334</v>
      </c>
      <c r="K186" s="15" t="s">
        <v>337</v>
      </c>
      <c r="M186"/>
      <c r="N186"/>
    </row>
    <row r="187" spans="1:14" ht="24.75" customHeight="1" thickTop="1" x14ac:dyDescent="0.3">
      <c r="N187"/>
    </row>
    <row r="190" spans="1:14" ht="24.75" customHeight="1" x14ac:dyDescent="0.3">
      <c r="L190"/>
    </row>
    <row r="191" spans="1:14" ht="24.75" customHeight="1" x14ac:dyDescent="0.3">
      <c r="L191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sheetProtection formatCells="0" formatColumns="0" formatRows="0" insertRows="0" deleteRows="0" sort="0" autoFilter="0"/>
  <conditionalFormatting sqref="A2:K499">
    <cfRule type="expression" dxfId="1" priority="6">
      <formula>$A2&gt;1</formula>
    </cfRule>
  </conditionalFormatting>
  <conditionalFormatting sqref="K2:K186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6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335</v>
      </c>
    </row>
    <row r="2" spans="1:4" ht="12.75" x14ac:dyDescent="0.2">
      <c r="A2" t="s">
        <v>327</v>
      </c>
      <c r="B2" s="4"/>
    </row>
    <row r="3" spans="1:4" ht="12.75" x14ac:dyDescent="0.2">
      <c r="A3" t="s">
        <v>333</v>
      </c>
      <c r="B3" s="4"/>
    </row>
    <row r="4" spans="1:4" ht="12.75" x14ac:dyDescent="0.2">
      <c r="A4" t="s">
        <v>328</v>
      </c>
      <c r="B4" s="4"/>
    </row>
    <row r="5" spans="1:4" ht="12.75" x14ac:dyDescent="0.2">
      <c r="A5" t="s">
        <v>329</v>
      </c>
      <c r="B5" s="4"/>
      <c r="C5" s="6"/>
    </row>
    <row r="6" spans="1:4" ht="12.75" x14ac:dyDescent="0.2">
      <c r="A6" t="s">
        <v>337</v>
      </c>
      <c r="B6" s="4"/>
    </row>
    <row r="7" spans="1:4" ht="12.75" x14ac:dyDescent="0.2">
      <c r="A7" t="s">
        <v>297</v>
      </c>
      <c r="B7" s="4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2016-08-23T21:38:44Z</dcterms:modified>
</cp:coreProperties>
</file>