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 firstSheet="2" activeTab="2"/>
  </bookViews>
  <sheets>
    <sheet name="Ranked Sections" sheetId="34" state="veryHidden" r:id="rId1"/>
    <sheet name="Index" sheetId="33" state="veryHidden" r:id="rId2"/>
    <sheet name="Main" sheetId="16" r:id="rId3"/>
  </sheets>
  <definedNames>
    <definedName name="_xlnm._FilterDatabase" localSheetId="1" hidden="1">Index!$N$4:$N$194</definedName>
    <definedName name="_xlnm._FilterDatabase" localSheetId="0" hidden="1">'Ranked Sections'!#REF!</definedName>
    <definedName name="callNumMask" localSheetId="1">Index!$E$1:$E$211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211" i="33" l="1"/>
  <c r="E211" i="33" s="1"/>
  <c r="D210" i="33"/>
  <c r="E210" i="33" s="1"/>
  <c r="D209" i="33"/>
  <c r="E209" i="33" s="1"/>
  <c r="D208" i="33"/>
  <c r="E208" i="33" s="1"/>
  <c r="D207" i="33"/>
  <c r="E207" i="33" s="1"/>
  <c r="D206" i="33"/>
  <c r="E206" i="33" s="1"/>
  <c r="D205" i="33"/>
  <c r="E205" i="33" s="1"/>
  <c r="D204" i="33"/>
  <c r="E204" i="33" s="1"/>
  <c r="D203" i="33"/>
  <c r="E203" i="33" s="1"/>
  <c r="D202" i="33"/>
  <c r="E202" i="33" s="1"/>
  <c r="D201" i="33"/>
  <c r="E201" i="33" s="1"/>
  <c r="D200" i="33"/>
  <c r="E200" i="33" s="1"/>
  <c r="D199" i="33"/>
  <c r="E199" i="33" s="1"/>
  <c r="D198" i="33"/>
  <c r="E198" i="33" s="1"/>
  <c r="D197" i="33"/>
  <c r="E197" i="33" s="1"/>
  <c r="D196" i="33"/>
  <c r="E196" i="33" s="1"/>
  <c r="D195" i="33"/>
  <c r="E195" i="33" s="1"/>
  <c r="D194" i="33"/>
  <c r="D193" i="33"/>
  <c r="E193" i="33" s="1"/>
  <c r="E192" i="33"/>
  <c r="B192" i="33" s="1"/>
  <c r="D192" i="33"/>
  <c r="D191" i="33"/>
  <c r="E191" i="33" s="1"/>
  <c r="E190" i="33"/>
  <c r="B190" i="33" s="1"/>
  <c r="D190" i="33"/>
  <c r="D189" i="33"/>
  <c r="E189" i="33" s="1"/>
  <c r="E188" i="33"/>
  <c r="B188" i="33" s="1"/>
  <c r="D188" i="33"/>
  <c r="D187" i="33"/>
  <c r="E187" i="33" s="1"/>
  <c r="D186" i="33"/>
  <c r="E186" i="33" s="1"/>
  <c r="B186" i="33" s="1"/>
  <c r="D185" i="33"/>
  <c r="E185" i="33" s="1"/>
  <c r="D184" i="33"/>
  <c r="E184" i="33" s="1"/>
  <c r="B184" i="33" s="1"/>
  <c r="D183" i="33"/>
  <c r="E183" i="33" s="1"/>
  <c r="D182" i="33"/>
  <c r="E182" i="33" s="1"/>
  <c r="B182" i="33" s="1"/>
  <c r="D181" i="33"/>
  <c r="E181" i="33" s="1"/>
  <c r="D180" i="33"/>
  <c r="E180" i="33" s="1"/>
  <c r="B180" i="33" s="1"/>
  <c r="D179" i="33"/>
  <c r="E179" i="33" s="1"/>
  <c r="D178" i="33"/>
  <c r="E178" i="33" s="1"/>
  <c r="B178" i="33" s="1"/>
  <c r="D177" i="33"/>
  <c r="E177" i="33" s="1"/>
  <c r="E176" i="33"/>
  <c r="B176" i="33" s="1"/>
  <c r="D176" i="33"/>
  <c r="D175" i="33"/>
  <c r="E175" i="33" s="1"/>
  <c r="E174" i="33"/>
  <c r="B174" i="33" s="1"/>
  <c r="D174" i="33"/>
  <c r="D173" i="33"/>
  <c r="E173" i="33" s="1"/>
  <c r="E172" i="33"/>
  <c r="B172" i="33" s="1"/>
  <c r="D172" i="33"/>
  <c r="D171" i="33"/>
  <c r="E171" i="33" s="1"/>
  <c r="D170" i="33"/>
  <c r="E170" i="33" s="1"/>
  <c r="B170" i="33" s="1"/>
  <c r="D169" i="33"/>
  <c r="E169" i="33" s="1"/>
  <c r="D168" i="33"/>
  <c r="E168" i="33" s="1"/>
  <c r="B168" i="33" s="1"/>
  <c r="D167" i="33"/>
  <c r="E167" i="33" s="1"/>
  <c r="D166" i="33"/>
  <c r="E166" i="33" s="1"/>
  <c r="B166" i="33" s="1"/>
  <c r="D165" i="33"/>
  <c r="E165" i="33" s="1"/>
  <c r="D164" i="33"/>
  <c r="E164" i="33" s="1"/>
  <c r="B164" i="33" s="1"/>
  <c r="D163" i="33"/>
  <c r="E163" i="33" s="1"/>
  <c r="B163" i="33" s="1"/>
  <c r="D162" i="33"/>
  <c r="E162" i="33" s="1"/>
  <c r="B162" i="33" s="1"/>
  <c r="D161" i="33"/>
  <c r="E161" i="33" s="1"/>
  <c r="B161" i="33" s="1"/>
  <c r="E160" i="33"/>
  <c r="B160" i="33" s="1"/>
  <c r="D160" i="33"/>
  <c r="D159" i="33"/>
  <c r="E159" i="33" s="1"/>
  <c r="B159" i="33" s="1"/>
  <c r="E158" i="33"/>
  <c r="B158" i="33" s="1"/>
  <c r="D158" i="33"/>
  <c r="D157" i="33"/>
  <c r="E157" i="33" s="1"/>
  <c r="B157" i="33" s="1"/>
  <c r="E156" i="33"/>
  <c r="B156" i="33" s="1"/>
  <c r="D156" i="33"/>
  <c r="D155" i="33"/>
  <c r="E155" i="33" s="1"/>
  <c r="B155" i="33" s="1"/>
  <c r="D154" i="33"/>
  <c r="E154" i="33" s="1"/>
  <c r="B154" i="33" s="1"/>
  <c r="D153" i="33"/>
  <c r="E153" i="33" s="1"/>
  <c r="B153" i="33" s="1"/>
  <c r="D152" i="33"/>
  <c r="E152" i="33" s="1"/>
  <c r="B152" i="33" s="1"/>
  <c r="D151" i="33"/>
  <c r="E151" i="33" s="1"/>
  <c r="B151" i="33" s="1"/>
  <c r="D150" i="33"/>
  <c r="E150" i="33" s="1"/>
  <c r="B150" i="33" s="1"/>
  <c r="D149" i="33"/>
  <c r="E149" i="33" s="1"/>
  <c r="B149" i="33" s="1"/>
  <c r="E148" i="33"/>
  <c r="B148" i="33" s="1"/>
  <c r="D148" i="33"/>
  <c r="D147" i="33"/>
  <c r="E147" i="33" s="1"/>
  <c r="B147" i="33" s="1"/>
  <c r="D146" i="33"/>
  <c r="E146" i="33" s="1"/>
  <c r="B146" i="33" s="1"/>
  <c r="D145" i="33"/>
  <c r="E145" i="33" s="1"/>
  <c r="B145" i="33" s="1"/>
  <c r="E144" i="33"/>
  <c r="B144" i="33" s="1"/>
  <c r="D144" i="33"/>
  <c r="D143" i="33"/>
  <c r="E143" i="33" s="1"/>
  <c r="B143" i="33" s="1"/>
  <c r="D142" i="33"/>
  <c r="E142" i="33" s="1"/>
  <c r="B142" i="33" s="1"/>
  <c r="D141" i="33"/>
  <c r="E141" i="33" s="1"/>
  <c r="B141" i="33" s="1"/>
  <c r="E140" i="33"/>
  <c r="B140" i="33" s="1"/>
  <c r="D140" i="33"/>
  <c r="D139" i="33"/>
  <c r="E139" i="33" s="1"/>
  <c r="B139" i="33" s="1"/>
  <c r="D138" i="33"/>
  <c r="E138" i="33" s="1"/>
  <c r="B138" i="33" s="1"/>
  <c r="D137" i="33"/>
  <c r="E137" i="33" s="1"/>
  <c r="B137" i="33" s="1"/>
  <c r="E136" i="33"/>
  <c r="B136" i="33" s="1"/>
  <c r="D136" i="33"/>
  <c r="D135" i="33"/>
  <c r="E135" i="33" s="1"/>
  <c r="B135" i="33" s="1"/>
  <c r="D134" i="33"/>
  <c r="E134" i="33" s="1"/>
  <c r="B134" i="33" s="1"/>
  <c r="D133" i="33"/>
  <c r="E133" i="33" s="1"/>
  <c r="B133" i="33" s="1"/>
  <c r="E132" i="33"/>
  <c r="B132" i="33" s="1"/>
  <c r="D132" i="33"/>
  <c r="D131" i="33"/>
  <c r="E131" i="33" s="1"/>
  <c r="B131" i="33" s="1"/>
  <c r="D130" i="33"/>
  <c r="E130" i="33" s="1"/>
  <c r="B130" i="33" s="1"/>
  <c r="D129" i="33"/>
  <c r="E129" i="33" s="1"/>
  <c r="B129" i="33" s="1"/>
  <c r="E128" i="33"/>
  <c r="B128" i="33" s="1"/>
  <c r="D128" i="33"/>
  <c r="D127" i="33"/>
  <c r="E127" i="33" s="1"/>
  <c r="B127" i="33" s="1"/>
  <c r="D126" i="33"/>
  <c r="E126" i="33" s="1"/>
  <c r="B126" i="33" s="1"/>
  <c r="D125" i="33"/>
  <c r="E125" i="33" s="1"/>
  <c r="B125" i="33" s="1"/>
  <c r="E124" i="33"/>
  <c r="B124" i="33" s="1"/>
  <c r="D124" i="33"/>
  <c r="D123" i="33"/>
  <c r="E123" i="33" s="1"/>
  <c r="B123" i="33" s="1"/>
  <c r="D122" i="33"/>
  <c r="E122" i="33" s="1"/>
  <c r="B122" i="33" s="1"/>
  <c r="D121" i="33"/>
  <c r="E121" i="33" s="1"/>
  <c r="B121" i="33" s="1"/>
  <c r="E120" i="33"/>
  <c r="B120" i="33" s="1"/>
  <c r="D120" i="33"/>
  <c r="D119" i="33"/>
  <c r="E119" i="33" s="1"/>
  <c r="B119" i="33" s="1"/>
  <c r="D118" i="33"/>
  <c r="E118" i="33" s="1"/>
  <c r="B118" i="33" s="1"/>
  <c r="D117" i="33"/>
  <c r="E117" i="33" s="1"/>
  <c r="B117" i="33" s="1"/>
  <c r="E116" i="33"/>
  <c r="B116" i="33" s="1"/>
  <c r="D116" i="33"/>
  <c r="D115" i="33"/>
  <c r="E115" i="33" s="1"/>
  <c r="B115" i="33" s="1"/>
  <c r="D114" i="33"/>
  <c r="E114" i="33" s="1"/>
  <c r="B114" i="33" s="1"/>
  <c r="D113" i="33"/>
  <c r="E113" i="33" s="1"/>
  <c r="B113" i="33" s="1"/>
  <c r="E112" i="33"/>
  <c r="B112" i="33" s="1"/>
  <c r="D112" i="33"/>
  <c r="D111" i="33"/>
  <c r="E111" i="33" s="1"/>
  <c r="B111" i="33" s="1"/>
  <c r="D110" i="33"/>
  <c r="E110" i="33" s="1"/>
  <c r="B110" i="33" s="1"/>
  <c r="D109" i="33"/>
  <c r="E109" i="33" s="1"/>
  <c r="B109" i="33" s="1"/>
  <c r="E108" i="33"/>
  <c r="B108" i="33" s="1"/>
  <c r="D108" i="33"/>
  <c r="D107" i="33"/>
  <c r="E107" i="33" s="1"/>
  <c r="B107" i="33" s="1"/>
  <c r="D106" i="33"/>
  <c r="E106" i="33" s="1"/>
  <c r="B106" i="33" s="1"/>
  <c r="D105" i="33"/>
  <c r="E105" i="33" s="1"/>
  <c r="B105" i="33" s="1"/>
  <c r="E104" i="33"/>
  <c r="B104" i="33" s="1"/>
  <c r="D104" i="33"/>
  <c r="D103" i="33"/>
  <c r="E103" i="33" s="1"/>
  <c r="B103" i="33" s="1"/>
  <c r="D102" i="33"/>
  <c r="E102" i="33" s="1"/>
  <c r="B102" i="33" s="1"/>
  <c r="D101" i="33"/>
  <c r="E101" i="33" s="1"/>
  <c r="B101" i="33" s="1"/>
  <c r="E100" i="33"/>
  <c r="B100" i="33" s="1"/>
  <c r="D100" i="33"/>
  <c r="D99" i="33"/>
  <c r="E99" i="33" s="1"/>
  <c r="B99" i="33" s="1"/>
  <c r="D98" i="33"/>
  <c r="E98" i="33" s="1"/>
  <c r="B98" i="33" s="1"/>
  <c r="D97" i="33"/>
  <c r="E97" i="33" s="1"/>
  <c r="B97" i="33" s="1"/>
  <c r="E96" i="33"/>
  <c r="B96" i="33" s="1"/>
  <c r="D96" i="33"/>
  <c r="D95" i="33"/>
  <c r="E95" i="33" s="1"/>
  <c r="B95" i="33" s="1"/>
  <c r="D94" i="33"/>
  <c r="E94" i="33" s="1"/>
  <c r="B94" i="33" s="1"/>
  <c r="D93" i="33"/>
  <c r="E93" i="33" s="1"/>
  <c r="B93" i="33" s="1"/>
  <c r="E92" i="33"/>
  <c r="B92" i="33" s="1"/>
  <c r="D92" i="33"/>
  <c r="D91" i="33"/>
  <c r="E91" i="33" s="1"/>
  <c r="B91" i="33" s="1"/>
  <c r="D90" i="33"/>
  <c r="E90" i="33" s="1"/>
  <c r="B90" i="33" s="1"/>
  <c r="D89" i="33"/>
  <c r="E89" i="33" s="1"/>
  <c r="B89" i="33" s="1"/>
  <c r="E88" i="33"/>
  <c r="B88" i="33" s="1"/>
  <c r="D88" i="33"/>
  <c r="D87" i="33"/>
  <c r="E87" i="33" s="1"/>
  <c r="B87" i="33" s="1"/>
  <c r="D86" i="33"/>
  <c r="E86" i="33" s="1"/>
  <c r="B86" i="33" s="1"/>
  <c r="D85" i="33"/>
  <c r="E85" i="33" s="1"/>
  <c r="B85" i="33" s="1"/>
  <c r="E84" i="33"/>
  <c r="B84" i="33" s="1"/>
  <c r="D84" i="33"/>
  <c r="D83" i="33"/>
  <c r="E83" i="33" s="1"/>
  <c r="B83" i="33" s="1"/>
  <c r="D82" i="33"/>
  <c r="E82" i="33" s="1"/>
  <c r="B82" i="33" s="1"/>
  <c r="D81" i="33"/>
  <c r="E81" i="33" s="1"/>
  <c r="B81" i="33" s="1"/>
  <c r="E80" i="33"/>
  <c r="B80" i="33" s="1"/>
  <c r="D80" i="33"/>
  <c r="D79" i="33"/>
  <c r="E79" i="33" s="1"/>
  <c r="B79" i="33" s="1"/>
  <c r="D78" i="33"/>
  <c r="E78" i="33" s="1"/>
  <c r="B78" i="33" s="1"/>
  <c r="D77" i="33"/>
  <c r="E77" i="33" s="1"/>
  <c r="B77" i="33" s="1"/>
  <c r="D76" i="33"/>
  <c r="E76" i="33" s="1"/>
  <c r="B76" i="33" s="1"/>
  <c r="D75" i="33"/>
  <c r="E75" i="33" s="1"/>
  <c r="B75" i="33" s="1"/>
  <c r="D74" i="33"/>
  <c r="E74" i="33" s="1"/>
  <c r="B74" i="33" s="1"/>
  <c r="D73" i="33"/>
  <c r="E73" i="33" s="1"/>
  <c r="B73" i="33" s="1"/>
  <c r="E72" i="33"/>
  <c r="B72" i="33" s="1"/>
  <c r="D72" i="33"/>
  <c r="D71" i="33"/>
  <c r="E71" i="33" s="1"/>
  <c r="B71" i="33" s="1"/>
  <c r="E70" i="33"/>
  <c r="B70" i="33" s="1"/>
  <c r="D70" i="33"/>
  <c r="E69" i="33"/>
  <c r="B69" i="33" s="1"/>
  <c r="D69" i="33"/>
  <c r="E68" i="33"/>
  <c r="B68" i="33" s="1"/>
  <c r="D68" i="33"/>
  <c r="D67" i="33"/>
  <c r="D66" i="33"/>
  <c r="E66" i="33" s="1"/>
  <c r="B66" i="33" s="1"/>
  <c r="D65" i="33"/>
  <c r="E65" i="33" s="1"/>
  <c r="D64" i="33"/>
  <c r="E64" i="33" s="1"/>
  <c r="B64" i="33" s="1"/>
  <c r="D63" i="33"/>
  <c r="E63" i="33" s="1"/>
  <c r="B63" i="33" s="1"/>
  <c r="D62" i="33"/>
  <c r="E62" i="33" s="1"/>
  <c r="B62" i="33" s="1"/>
  <c r="D61" i="33"/>
  <c r="E61" i="33" s="1"/>
  <c r="B61" i="33" s="1"/>
  <c r="D60" i="33"/>
  <c r="E60" i="33" s="1"/>
  <c r="B60" i="33" s="1"/>
  <c r="D59" i="33"/>
  <c r="E59" i="33" s="1"/>
  <c r="B59" i="33" s="1"/>
  <c r="D58" i="33"/>
  <c r="E58" i="33" s="1"/>
  <c r="B58" i="33" s="1"/>
  <c r="D57" i="33"/>
  <c r="E57" i="33" s="1"/>
  <c r="B57" i="33" s="1"/>
  <c r="E56" i="33"/>
  <c r="B56" i="33" s="1"/>
  <c r="D56" i="33"/>
  <c r="D55" i="33"/>
  <c r="E55" i="33" s="1"/>
  <c r="B55" i="33" s="1"/>
  <c r="E54" i="33"/>
  <c r="B54" i="33" s="1"/>
  <c r="D54" i="33"/>
  <c r="E53" i="33"/>
  <c r="B53" i="33" s="1"/>
  <c r="D53" i="33"/>
  <c r="E52" i="33"/>
  <c r="B52" i="33" s="1"/>
  <c r="D52" i="33"/>
  <c r="D51" i="33"/>
  <c r="D50" i="33"/>
  <c r="E50" i="33" s="1"/>
  <c r="B50" i="33" s="1"/>
  <c r="D49" i="33"/>
  <c r="E49" i="33" s="1"/>
  <c r="D48" i="33"/>
  <c r="E48" i="33" s="1"/>
  <c r="B48" i="33" s="1"/>
  <c r="D47" i="33"/>
  <c r="E47" i="33" s="1"/>
  <c r="B47" i="33" s="1"/>
  <c r="D46" i="33"/>
  <c r="E46" i="33" s="1"/>
  <c r="B46" i="33" s="1"/>
  <c r="D45" i="33"/>
  <c r="E45" i="33" s="1"/>
  <c r="B45" i="33" s="1"/>
  <c r="D44" i="33"/>
  <c r="E44" i="33" s="1"/>
  <c r="B44" i="33" s="1"/>
  <c r="D43" i="33"/>
  <c r="E43" i="33" s="1"/>
  <c r="B43" i="33" s="1"/>
  <c r="D42" i="33"/>
  <c r="E42" i="33" s="1"/>
  <c r="B42" i="33" s="1"/>
  <c r="D41" i="33"/>
  <c r="E41" i="33" s="1"/>
  <c r="B41" i="33" s="1"/>
  <c r="E40" i="33"/>
  <c r="B40" i="33" s="1"/>
  <c r="D40" i="33"/>
  <c r="D39" i="33"/>
  <c r="E39" i="33" s="1"/>
  <c r="B39" i="33" s="1"/>
  <c r="E38" i="33"/>
  <c r="B38" i="33" s="1"/>
  <c r="D38" i="33"/>
  <c r="E37" i="33"/>
  <c r="B37" i="33" s="1"/>
  <c r="D37" i="33"/>
  <c r="E36" i="33"/>
  <c r="B36" i="33" s="1"/>
  <c r="D36" i="33"/>
  <c r="E35" i="33"/>
  <c r="B35" i="33" s="1"/>
  <c r="D35" i="33"/>
  <c r="D34" i="33"/>
  <c r="E34" i="33" s="1"/>
  <c r="E33" i="33"/>
  <c r="B33" i="33" s="1"/>
  <c r="D33" i="33"/>
  <c r="D32" i="33"/>
  <c r="D31" i="33"/>
  <c r="E31" i="33" s="1"/>
  <c r="B31" i="33" s="1"/>
  <c r="D30" i="33"/>
  <c r="E30" i="33" s="1"/>
  <c r="D29" i="33"/>
  <c r="E29" i="33" s="1"/>
  <c r="B29" i="33" s="1"/>
  <c r="D28" i="33"/>
  <c r="E28" i="33" s="1"/>
  <c r="B28" i="33" s="1"/>
  <c r="D27" i="33"/>
  <c r="E27" i="33" s="1"/>
  <c r="B27" i="33" s="1"/>
  <c r="D26" i="33"/>
  <c r="E26" i="33" s="1"/>
  <c r="B26" i="33" s="1"/>
  <c r="D25" i="33"/>
  <c r="E25" i="33" s="1"/>
  <c r="B25" i="33" s="1"/>
  <c r="E24" i="33"/>
  <c r="B24" i="33" s="1"/>
  <c r="D24" i="33"/>
  <c r="D23" i="33"/>
  <c r="E23" i="33" s="1"/>
  <c r="B23" i="33" s="1"/>
  <c r="E22" i="33"/>
  <c r="B22" i="33" s="1"/>
  <c r="D22" i="33"/>
  <c r="E21" i="33"/>
  <c r="B21" i="33" s="1"/>
  <c r="D21" i="33"/>
  <c r="E20" i="33"/>
  <c r="B20" i="33" s="1"/>
  <c r="D20" i="33"/>
  <c r="E19" i="33"/>
  <c r="B19" i="33" s="1"/>
  <c r="D19" i="33"/>
  <c r="D18" i="33"/>
  <c r="E18" i="33" s="1"/>
  <c r="E17" i="33"/>
  <c r="B17" i="33" s="1"/>
  <c r="D17" i="33"/>
  <c r="D16" i="33"/>
  <c r="D15" i="33"/>
  <c r="E15" i="33" s="1"/>
  <c r="B15" i="33" s="1"/>
  <c r="D14" i="33"/>
  <c r="E14" i="33" s="1"/>
  <c r="D13" i="33"/>
  <c r="E13" i="33" s="1"/>
  <c r="B13" i="33" s="1"/>
  <c r="D12" i="33"/>
  <c r="E12" i="33" s="1"/>
  <c r="B12" i="33" s="1"/>
  <c r="D11" i="33"/>
  <c r="E11" i="33" s="1"/>
  <c r="B11" i="33" s="1"/>
  <c r="D10" i="33"/>
  <c r="E10" i="33" s="1"/>
  <c r="B10" i="33" s="1"/>
  <c r="D9" i="33"/>
  <c r="E9" i="33" s="1"/>
  <c r="B9" i="33" s="1"/>
  <c r="E8" i="33"/>
  <c r="B8" i="33" s="1"/>
  <c r="D8" i="33"/>
  <c r="D7" i="33"/>
  <c r="E7" i="33" s="1"/>
  <c r="B7" i="33" s="1"/>
  <c r="E6" i="33"/>
  <c r="B6" i="33" s="1"/>
  <c r="D6" i="33"/>
  <c r="E5" i="33"/>
  <c r="B5" i="33" s="1"/>
  <c r="D5" i="33"/>
  <c r="E4" i="33"/>
  <c r="B4" i="33" s="1"/>
  <c r="D4" i="33"/>
  <c r="E3" i="33"/>
  <c r="B3" i="33" s="1"/>
  <c r="D3" i="33"/>
  <c r="D2" i="33"/>
  <c r="E2" i="33" s="1"/>
  <c r="B51" i="33" l="1"/>
  <c r="E16" i="33"/>
  <c r="B16" i="33" s="1"/>
  <c r="E32" i="33"/>
  <c r="B32" i="33" s="1"/>
  <c r="E51" i="33"/>
  <c r="E67" i="33"/>
  <c r="B67" i="33" s="1"/>
  <c r="B14" i="33"/>
  <c r="B30" i="33"/>
  <c r="B49" i="33"/>
  <c r="B65" i="33"/>
  <c r="B2" i="33"/>
  <c r="B18" i="33"/>
  <c r="B34" i="33"/>
  <c r="B194" i="33"/>
  <c r="E194" i="33"/>
  <c r="B196" i="33"/>
  <c r="B198" i="33"/>
  <c r="B200" i="33"/>
  <c r="B202" i="33"/>
  <c r="B204" i="33"/>
  <c r="B206" i="33"/>
  <c r="B208" i="33"/>
  <c r="B210" i="33"/>
  <c r="B165" i="33"/>
  <c r="B167" i="33"/>
  <c r="B169" i="33"/>
  <c r="B171" i="33"/>
  <c r="B173" i="33"/>
  <c r="B175" i="33"/>
  <c r="B177" i="33"/>
  <c r="B179" i="33"/>
  <c r="B181" i="33"/>
  <c r="B183" i="33"/>
  <c r="B185" i="33"/>
  <c r="B187" i="33"/>
  <c r="B189" i="33"/>
  <c r="B191" i="33"/>
  <c r="B193" i="33"/>
  <c r="B195" i="33"/>
  <c r="B197" i="33"/>
  <c r="B199" i="33"/>
  <c r="B201" i="33"/>
  <c r="B203" i="33"/>
  <c r="B205" i="33"/>
  <c r="B207" i="33"/>
  <c r="B209" i="33"/>
  <c r="B211" i="33"/>
  <c r="A115" i="33" l="1"/>
  <c r="A143" i="33"/>
  <c r="A155" i="33"/>
  <c r="A191" i="33"/>
  <c r="A206" i="33"/>
  <c r="A128" i="33"/>
  <c r="A175" i="33"/>
  <c r="A207" i="33"/>
  <c r="A50" i="33"/>
  <c r="A176" i="33"/>
  <c r="A26" i="33"/>
  <c r="A205" i="33"/>
  <c r="A189" i="33"/>
  <c r="A173" i="33"/>
  <c r="A204" i="33"/>
  <c r="A151" i="33"/>
  <c r="A99" i="33"/>
  <c r="A127" i="33"/>
  <c r="A157" i="33"/>
  <c r="A101" i="33"/>
  <c r="A146" i="33"/>
  <c r="A82" i="33"/>
  <c r="A145" i="33"/>
  <c r="A57" i="33"/>
  <c r="A31" i="33"/>
  <c r="A76" i="33"/>
  <c r="A59" i="33"/>
  <c r="A134" i="33"/>
  <c r="A75" i="33"/>
  <c r="A17" i="33"/>
  <c r="A84" i="33"/>
  <c r="A6" i="33"/>
  <c r="A168" i="33"/>
  <c r="A3" i="33"/>
  <c r="A30" i="33"/>
  <c r="A40" i="33"/>
  <c r="A148" i="33"/>
  <c r="A67" i="33"/>
  <c r="A5" i="33"/>
  <c r="A34" i="33"/>
  <c r="A158" i="33"/>
  <c r="A203" i="33"/>
  <c r="A187" i="33"/>
  <c r="A171" i="33"/>
  <c r="A202" i="33"/>
  <c r="A141" i="33"/>
  <c r="A83" i="33"/>
  <c r="A111" i="33"/>
  <c r="A153" i="33"/>
  <c r="A92" i="33"/>
  <c r="A139" i="33"/>
  <c r="A63" i="33"/>
  <c r="A136" i="33"/>
  <c r="A41" i="33"/>
  <c r="A15" i="33"/>
  <c r="A69" i="33"/>
  <c r="A27" i="33"/>
  <c r="A122" i="33"/>
  <c r="A46" i="33"/>
  <c r="A186" i="33"/>
  <c r="A9" i="33"/>
  <c r="A24" i="33"/>
  <c r="A188" i="33"/>
  <c r="A4" i="33"/>
  <c r="A42" i="33"/>
  <c r="A64" i="33"/>
  <c r="A144" i="33"/>
  <c r="A161" i="33"/>
  <c r="A194" i="33"/>
  <c r="A180" i="33"/>
  <c r="A185" i="33"/>
  <c r="A169" i="33"/>
  <c r="A200" i="33"/>
  <c r="A125" i="33"/>
  <c r="A137" i="33"/>
  <c r="A95" i="33"/>
  <c r="A149" i="33"/>
  <c r="A85" i="33"/>
  <c r="A130" i="33"/>
  <c r="A47" i="33"/>
  <c r="A129" i="33"/>
  <c r="A178" i="33"/>
  <c r="A62" i="33"/>
  <c r="A60" i="33"/>
  <c r="A23" i="33"/>
  <c r="A118" i="33"/>
  <c r="A11" i="33"/>
  <c r="A170" i="33"/>
  <c r="A2" i="33"/>
  <c r="A36" i="33"/>
  <c r="A12" i="33"/>
  <c r="A18" i="33"/>
  <c r="A58" i="33"/>
  <c r="A48" i="33"/>
  <c r="A132" i="33"/>
  <c r="A73" i="33"/>
  <c r="A33" i="33"/>
  <c r="A8" i="33"/>
  <c r="A199" i="33"/>
  <c r="A183" i="33"/>
  <c r="A167" i="33"/>
  <c r="A198" i="33"/>
  <c r="A109" i="33"/>
  <c r="A121" i="33"/>
  <c r="A79" i="33"/>
  <c r="A140" i="33"/>
  <c r="A77" i="33"/>
  <c r="A123" i="33"/>
  <c r="A113" i="33"/>
  <c r="A120" i="33"/>
  <c r="A162" i="33"/>
  <c r="A43" i="33"/>
  <c r="A53" i="33"/>
  <c r="A25" i="33"/>
  <c r="A106" i="33"/>
  <c r="A100" i="33"/>
  <c r="A154" i="33"/>
  <c r="A16" i="33"/>
  <c r="A164" i="33"/>
  <c r="A20" i="33"/>
  <c r="A28" i="33"/>
  <c r="A74" i="33"/>
  <c r="A29" i="33"/>
  <c r="A103" i="33"/>
  <c r="A112" i="33"/>
  <c r="A201" i="33"/>
  <c r="A197" i="33"/>
  <c r="A181" i="33"/>
  <c r="A165" i="33"/>
  <c r="A196" i="33"/>
  <c r="A93" i="33"/>
  <c r="A105" i="33"/>
  <c r="A49" i="33"/>
  <c r="A133" i="33"/>
  <c r="A61" i="33"/>
  <c r="A114" i="33"/>
  <c r="A97" i="33"/>
  <c r="A104" i="33"/>
  <c r="A70" i="33"/>
  <c r="A56" i="33"/>
  <c r="A44" i="33"/>
  <c r="A182" i="33"/>
  <c r="A102" i="33"/>
  <c r="A80" i="33"/>
  <c r="A71" i="33"/>
  <c r="A32" i="33"/>
  <c r="A192" i="33"/>
  <c r="A110" i="33"/>
  <c r="A38" i="33"/>
  <c r="A152" i="33"/>
  <c r="A13" i="33"/>
  <c r="A116" i="33"/>
  <c r="A91" i="33"/>
  <c r="A78" i="33"/>
  <c r="A195" i="33"/>
  <c r="A179" i="33"/>
  <c r="A210" i="33"/>
  <c r="A163" i="33"/>
  <c r="A147" i="33"/>
  <c r="A89" i="33"/>
  <c r="A87" i="33"/>
  <c r="A124" i="33"/>
  <c r="A45" i="33"/>
  <c r="A107" i="33"/>
  <c r="A72" i="33"/>
  <c r="A88" i="33"/>
  <c r="A66" i="33"/>
  <c r="A7" i="33"/>
  <c r="A37" i="33"/>
  <c r="A166" i="33"/>
  <c r="A90" i="33"/>
  <c r="A68" i="33"/>
  <c r="A55" i="33"/>
  <c r="A94" i="33"/>
  <c r="A14" i="33"/>
  <c r="A126" i="33"/>
  <c r="A142" i="33"/>
  <c r="A184" i="33"/>
  <c r="A190" i="33"/>
  <c r="A96" i="33"/>
  <c r="A108" i="33"/>
  <c r="A138" i="33"/>
  <c r="A211" i="33"/>
  <c r="A209" i="33"/>
  <c r="A193" i="33"/>
  <c r="A177" i="33"/>
  <c r="A208" i="33"/>
  <c r="A159" i="33"/>
  <c r="A131" i="33"/>
  <c r="A119" i="33"/>
  <c r="A51" i="33"/>
  <c r="A117" i="33"/>
  <c r="A81" i="33"/>
  <c r="A98" i="33"/>
  <c r="A135" i="33"/>
  <c r="A65" i="33"/>
  <c r="A54" i="33"/>
  <c r="A19" i="33"/>
  <c r="A21" i="33"/>
  <c r="A150" i="33"/>
  <c r="A86" i="33"/>
  <c r="A52" i="33"/>
  <c r="A39" i="33"/>
  <c r="A156" i="33"/>
  <c r="A22" i="33"/>
  <c r="A160" i="33"/>
  <c r="A172" i="33"/>
  <c r="A10" i="33"/>
  <c r="A174" i="33"/>
  <c r="A35" i="33"/>
</calcChain>
</file>

<file path=xl/sharedStrings.xml><?xml version="1.0" encoding="utf-8"?>
<sst xmlns="http://schemas.openxmlformats.org/spreadsheetml/2006/main" count="1155" uniqueCount="335">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</sst>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0">
    <xf numFmtId="0" fontId="0" fillId="0" borderId="0"/>
    <xf numFmtId="0" fontId="5" fillId="0" borderId="0"/>
    <xf numFmtId="0" fontId="4" fillId="0" borderId="0"/>
    <xf numFmtId="0" fontId="9" fillId="0" borderId="0"/>
    <xf numFmtId="0" fontId="3" fillId="0" borderId="0"/>
    <xf numFmtId="0" fontId="11" fillId="2" borderId="1" applyNumberFormat="0" applyAlignment="0" applyProtection="0"/>
    <xf numFmtId="0" fontId="13" fillId="0" borderId="0" applyNumberFormat="0" applyFill="0" applyBorder="0" applyAlignment="0" applyProtection="0"/>
    <xf numFmtId="0" fontId="15" fillId="0" borderId="0">
      <alignment vertical="top"/>
    </xf>
    <xf numFmtId="0" fontId="2" fillId="0" borderId="0"/>
    <xf numFmtId="0" fontId="1" fillId="0" borderId="0"/>
  </cellStyleXfs>
  <cellXfs count="30">
    <xf numFmtId="0" fontId="0" fillId="0" borderId="0" xfId="0"/>
    <xf numFmtId="0" fontId="13" fillId="0" borderId="0" xfId="6" applyProtection="1"/>
    <xf numFmtId="0" fontId="14" fillId="0" borderId="0" xfId="6" applyFont="1" applyFill="1" applyBorder="1"/>
    <xf numFmtId="0" fontId="14" fillId="0" borderId="0" xfId="6" applyFont="1" applyProtection="1"/>
    <xf numFmtId="0" fontId="11" fillId="2" borderId="1" xfId="5" applyProtection="1">
      <protection locked="0"/>
    </xf>
    <xf numFmtId="0" fontId="8" fillId="0" borderId="0" xfId="3" applyFont="1" applyAlignment="1" applyProtection="1">
      <alignment wrapText="1"/>
      <protection locked="0"/>
    </xf>
    <xf numFmtId="0" fontId="9" fillId="0" borderId="0" xfId="3"/>
    <xf numFmtId="0" fontId="8" fillId="0" borderId="0" xfId="3" applyFont="1" applyProtection="1"/>
    <xf numFmtId="0" fontId="9" fillId="0" borderId="0" xfId="3" applyProtection="1"/>
    <xf numFmtId="0" fontId="9" fillId="0" borderId="0" xfId="3" applyFont="1" applyFill="1" applyProtection="1"/>
    <xf numFmtId="0" fontId="6" fillId="0" borderId="0" xfId="9" applyFont="1" applyFill="1" applyBorder="1" applyAlignment="1" applyProtection="1">
      <alignment horizontal="left" wrapText="1"/>
      <protection locked="0"/>
    </xf>
    <xf numFmtId="0" fontId="6" fillId="0" borderId="0" xfId="9" applyFont="1" applyFill="1" applyAlignment="1" applyProtection="1">
      <alignment horizontal="left" wrapText="1"/>
      <protection locked="0"/>
    </xf>
    <xf numFmtId="0" fontId="6" fillId="0" borderId="0" xfId="9" applyFont="1" applyFill="1" applyBorder="1" applyAlignment="1" applyProtection="1">
      <alignment horizontal="left" wrapText="1"/>
    </xf>
    <xf numFmtId="0" fontId="12" fillId="0" borderId="0" xfId="9" applyFont="1" applyFill="1" applyBorder="1" applyAlignment="1" applyProtection="1">
      <alignment horizontal="left" wrapText="1"/>
      <protection locked="0"/>
    </xf>
    <xf numFmtId="0" fontId="6" fillId="0" borderId="0" xfId="9" applyFont="1" applyFill="1" applyBorder="1"/>
    <xf numFmtId="0" fontId="7" fillId="0" borderId="0" xfId="9" applyFont="1" applyFill="1" applyAlignment="1" applyProtection="1">
      <alignment horizontal="left" indent="1"/>
      <protection locked="0"/>
    </xf>
    <xf numFmtId="0" fontId="7" fillId="0" borderId="0" xfId="9" applyFont="1" applyFill="1" applyAlignment="1" applyProtection="1">
      <alignment wrapText="1"/>
      <protection locked="0"/>
    </xf>
    <xf numFmtId="0" fontId="7" fillId="0" borderId="0" xfId="9" applyFont="1" applyFill="1" applyAlignment="1" applyProtection="1">
      <alignment wrapText="1"/>
    </xf>
    <xf numFmtId="0" fontId="7" fillId="0" borderId="0" xfId="9" applyFont="1" applyFill="1" applyBorder="1" applyAlignment="1" applyProtection="1">
      <alignment wrapText="1"/>
      <protection locked="0"/>
    </xf>
    <xf numFmtId="0" fontId="7" fillId="0" borderId="0" xfId="9" applyFont="1" applyFill="1" applyBorder="1" applyAlignment="1" applyProtection="1">
      <alignment horizontal="left" indent="1"/>
      <protection locked="0"/>
    </xf>
    <xf numFmtId="0" fontId="7" fillId="0" borderId="0" xfId="9" applyFont="1" applyFill="1" applyBorder="1" applyProtection="1">
      <protection locked="0"/>
    </xf>
    <xf numFmtId="0" fontId="7" fillId="0" borderId="0" xfId="9" applyFont="1" applyFill="1" applyBorder="1" applyAlignment="1" applyProtection="1">
      <alignment horizontal="left" wrapText="1" indent="1"/>
      <protection locked="0"/>
    </xf>
    <xf numFmtId="0" fontId="7" fillId="0" borderId="0" xfId="9" applyNumberFormat="1" applyFont="1" applyFill="1" applyAlignment="1" applyProtection="1">
      <alignment horizontal="left" indent="1"/>
      <protection locked="0"/>
    </xf>
    <xf numFmtId="0" fontId="7" fillId="0" borderId="0" xfId="9" applyNumberFormat="1" applyFont="1" applyFill="1" applyAlignment="1" applyProtection="1">
      <alignment wrapText="1"/>
      <protection locked="0"/>
    </xf>
    <xf numFmtId="0" fontId="7" fillId="0" borderId="0" xfId="9" applyFont="1" applyFill="1" applyAlignment="1" applyProtection="1">
      <alignment horizontal="left"/>
      <protection locked="0"/>
    </xf>
    <xf numFmtId="0" fontId="6" fillId="0" borderId="0" xfId="9" applyFont="1" applyFill="1" applyBorder="1" applyProtection="1"/>
    <xf numFmtId="0" fontId="6" fillId="0" borderId="0" xfId="9" applyFont="1" applyFill="1" applyBorder="1" applyAlignment="1">
      <alignment horizontal="left" indent="1"/>
    </xf>
    <xf numFmtId="0" fontId="7" fillId="0" borderId="0" xfId="9" applyNumberFormat="1" applyFont="1" applyFill="1" applyBorder="1" applyAlignment="1" applyProtection="1">
      <alignment wrapText="1"/>
      <protection locked="0"/>
    </xf>
    <xf numFmtId="0" fontId="7" fillId="0" borderId="0" xfId="9" applyNumberFormat="1" applyFont="1" applyFill="1" applyBorder="1" applyAlignment="1" applyProtection="1">
      <alignment wrapText="1"/>
    </xf>
    <xf numFmtId="0" fontId="8" fillId="0" borderId="0" xfId="3" applyFont="1" applyProtection="1">
      <protection locked="0"/>
    </xf>
  </cellXfs>
  <cellStyles count="10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3 2 2" xfId="9"/>
    <cellStyle name="Normal 4" xfId="3"/>
    <cellStyle name="Normal 5" xfId="4"/>
  </cellStyles>
  <dxfs count="20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4" name="SectionsTbl" displayName="SectionsTbl" ref="A1:A3" totalsRowShown="0" headerRowDxfId="19" dataDxfId="18">
  <tableColumns count="1">
    <tableColumn id="1" name="Section Description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IndexTbl" displayName="IndexTbl" ref="A1:K211" totalsRowShown="0" headerRowDxfId="16" dataDxfId="15" headerRowCellStyle="Normal 3" dataCellStyle="Normal 3">
  <autoFilter ref="A1:K211"/>
  <tableColumns count="11">
    <tableColumn id="11" name="secret count" dataDxfId="14" dataCellStyle="Normal 3">
      <calculatedColumnFormula>COUNTIF(IndexTbl[unique],IndexTbl[[#This Row],[unique]])</calculatedColumnFormula>
    </tableColumn>
    <tableColumn id="10" name="unique" dataDxfId="13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2" dataCellStyle="Normal 3"/>
    <tableColumn id="5" name="Dewey Number" dataDxfId="11" dataCellStyle="Normal 3">
      <calculatedColumnFormula>ISNUMBER(IndexTbl[[#This Row],[Class]])</calculatedColumnFormula>
    </tableColumn>
    <tableColumn id="6" name="Call Number Mask" dataDxfId="10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9" dataCellStyle="Normal 3"/>
    <tableColumn id="8" name="Class" dataDxfId="8" dataCellStyle="Normal 3"/>
    <tableColumn id="9" name="Cutter [{Subject},{Author},{Other}]" dataDxfId="7" dataCellStyle="Normal 3"/>
    <tableColumn id="1" name="Shelf Location" dataDxfId="6" dataCellStyle="Normal 3"/>
    <tableColumn id="3" name="Helfpul Description" dataDxfId="5" dataCellStyle="Normal 3"/>
    <tableColumn id="2" name="Section Description" dataDxfId="4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7" bestFit="1" customWidth="1"/>
    <col min="2" max="2" width="22.85546875" style="9" hidden="1" customWidth="1"/>
    <col min="3" max="3" width="8.85546875" style="8"/>
    <col min="4" max="4" width="42.140625" style="8" bestFit="1" customWidth="1"/>
    <col min="5" max="16384" width="8.85546875" style="8"/>
  </cols>
  <sheetData>
    <row r="1" spans="1:4" ht="20.25" x14ac:dyDescent="0.3">
      <c r="A1" s="7" t="s">
        <v>290</v>
      </c>
      <c r="B1" s="8"/>
      <c r="D1" s="3" t="s">
        <v>330</v>
      </c>
    </row>
    <row r="2" spans="1:4" x14ac:dyDescent="0.25">
      <c r="A2" s="29" t="s">
        <v>332</v>
      </c>
      <c r="B2" s="8"/>
    </row>
    <row r="3" spans="1:4" x14ac:dyDescent="0.25">
      <c r="A3" s="29" t="s">
        <v>297</v>
      </c>
      <c r="B3" s="8"/>
    </row>
    <row r="4" spans="1:4" x14ac:dyDescent="0.25">
      <c r="B4" s="8"/>
    </row>
    <row r="5" spans="1:4" x14ac:dyDescent="0.25">
      <c r="B5" s="8"/>
      <c r="C5" s="1"/>
    </row>
    <row r="6" spans="1:4" x14ac:dyDescent="0.25">
      <c r="B6" s="8"/>
    </row>
    <row r="7" spans="1:4" x14ac:dyDescent="0.25">
      <c r="B7" s="8"/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22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style="6" hidden="1" customWidth="1"/>
    <col min="2" max="2" width="10.5703125" style="14" hidden="1" customWidth="1"/>
    <col min="3" max="3" width="22.5703125" style="14" customWidth="1"/>
    <col min="4" max="4" width="22.5703125" style="14" hidden="1" customWidth="1"/>
    <col min="5" max="5" width="22.5703125" style="25" customWidth="1"/>
    <col min="6" max="6" width="22.5703125" style="14" hidden="1" customWidth="1"/>
    <col min="7" max="7" width="22.5703125" style="6" hidden="1" customWidth="1"/>
    <col min="8" max="8" width="49.28515625" style="26" customWidth="1"/>
    <col min="9" max="9" width="17.85546875" style="6" bestFit="1" customWidth="1"/>
    <col min="10" max="10" width="45.7109375" style="26" customWidth="1"/>
    <col min="11" max="11" width="36.7109375" style="14" bestFit="1" customWidth="1"/>
    <col min="12" max="12" width="8.85546875" style="14"/>
    <col min="13" max="13" width="25.85546875" style="14" bestFit="1" customWidth="1"/>
    <col min="14" max="14" width="8.85546875" style="14"/>
    <col min="15" max="15" width="10.7109375" style="14" bestFit="1" customWidth="1"/>
    <col min="16" max="18" width="8.85546875" style="14"/>
    <col min="19" max="19" width="8" style="14" customWidth="1"/>
    <col min="20" max="16384" width="8.85546875" style="14"/>
  </cols>
  <sheetData>
    <row r="1" spans="1:14" ht="57" thickBot="1" x14ac:dyDescent="0.35">
      <c r="A1" s="10" t="s">
        <v>328</v>
      </c>
      <c r="B1" s="11" t="s">
        <v>329</v>
      </c>
      <c r="C1" s="10" t="s">
        <v>289</v>
      </c>
      <c r="D1" s="10" t="s">
        <v>293</v>
      </c>
      <c r="E1" s="12" t="s">
        <v>292</v>
      </c>
      <c r="F1" s="10" t="s">
        <v>299</v>
      </c>
      <c r="G1" s="10" t="s">
        <v>300</v>
      </c>
      <c r="H1" s="10" t="s">
        <v>285</v>
      </c>
      <c r="I1" s="10" t="s">
        <v>291</v>
      </c>
      <c r="J1" s="13" t="s">
        <v>298</v>
      </c>
      <c r="K1" s="5" t="s">
        <v>290</v>
      </c>
      <c r="M1" s="2" t="s">
        <v>331</v>
      </c>
    </row>
    <row r="2" spans="1:14" ht="24.75" customHeight="1" thickTop="1" thickBot="1" x14ac:dyDescent="0.35">
      <c r="A2" s="22">
        <f>COUNTIF(IndexTbl[unique],IndexTbl[[#This Row],[unique]])</f>
        <v>1</v>
      </c>
      <c r="B2" s="23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2" s="16" t="s">
        <v>18</v>
      </c>
      <c r="D2" s="16" t="b">
        <f>ISNUMBER(IndexTbl[[#This Row],[Class]])</f>
        <v>1</v>
      </c>
      <c r="E2" s="17" t="str">
        <f>TRIM(IndexTbl[[#This Row],[Prefix]]&amp;IF(NOT(IndexTbl[[#This Row],[Dewey Number]])," "&amp;IndexTbl[[#This Row],[Class]],""))</f>
        <v/>
      </c>
      <c r="F2" s="15"/>
      <c r="G2" s="15">
        <v>999.99</v>
      </c>
      <c r="H2" s="15" t="s">
        <v>268</v>
      </c>
      <c r="I2" s="16" t="s">
        <v>333</v>
      </c>
      <c r="J2" s="16" t="s">
        <v>134</v>
      </c>
      <c r="K2" s="4" t="s">
        <v>332</v>
      </c>
      <c r="M2" s="6"/>
      <c r="N2" s="6"/>
    </row>
    <row r="3" spans="1:14" ht="24.75" customHeight="1" thickTop="1" thickBot="1" x14ac:dyDescent="0.35">
      <c r="A3" s="15">
        <f>COUNTIF(IndexTbl[unique],IndexTbl[[#This Row],[unique]])</f>
        <v>1</v>
      </c>
      <c r="B3" s="16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3" s="16" t="s">
        <v>18</v>
      </c>
      <c r="D3" s="16" t="b">
        <f>ISNUMBER(IndexTbl[[#This Row],[Class]])</f>
        <v>1</v>
      </c>
      <c r="E3" s="17" t="str">
        <f>TRIM(IndexTbl[[#This Row],[Prefix]]&amp;IF(NOT(IndexTbl[[#This Row],[Dewey Number]])," "&amp;IndexTbl[[#This Row],[Class]],""))</f>
        <v/>
      </c>
      <c r="F3" s="15"/>
      <c r="G3" s="15">
        <v>999.99</v>
      </c>
      <c r="H3" s="15" t="s">
        <v>268</v>
      </c>
      <c r="I3" s="16"/>
      <c r="J3" s="16" t="s">
        <v>134</v>
      </c>
      <c r="K3" s="4" t="s">
        <v>332</v>
      </c>
      <c r="M3" s="6"/>
      <c r="N3" s="6"/>
    </row>
    <row r="4" spans="1:14" ht="24.75" customHeight="1" thickTop="1" thickBot="1" x14ac:dyDescent="0.35">
      <c r="A4" s="22">
        <f>COUNTIF(IndexTbl[unique],IndexTbl[[#This Row],[unique]])</f>
        <v>1</v>
      </c>
      <c r="B4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4" s="16" t="s">
        <v>46</v>
      </c>
      <c r="D4" s="16" t="b">
        <f>ISNUMBER(IndexTbl[[#This Row],[Class]])</f>
        <v>1</v>
      </c>
      <c r="E4" s="17" t="str">
        <f>TRIM(IndexTbl[[#This Row],[Prefix]]&amp;IF(NOT(IndexTbl[[#This Row],[Dewey Number]])," "&amp;IndexTbl[[#This Row],[Class]],""))</f>
        <v>J</v>
      </c>
      <c r="F4" s="15" t="s">
        <v>87</v>
      </c>
      <c r="G4" s="15">
        <v>999.99</v>
      </c>
      <c r="H4" s="15" t="s">
        <v>251</v>
      </c>
      <c r="I4" s="16" t="s">
        <v>333</v>
      </c>
      <c r="J4" s="16" t="s">
        <v>90</v>
      </c>
      <c r="K4" s="4" t="s">
        <v>332</v>
      </c>
      <c r="M4" s="6"/>
      <c r="N4" s="6"/>
    </row>
    <row r="5" spans="1:14" ht="24.75" customHeight="1" thickTop="1" thickBot="1" x14ac:dyDescent="0.35">
      <c r="A5" s="15">
        <f>COUNTIF(IndexTbl[unique],IndexTbl[[#This Row],[unique]])</f>
        <v>1</v>
      </c>
      <c r="B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5" s="16" t="s">
        <v>46</v>
      </c>
      <c r="D5" s="16" t="b">
        <f>ISNUMBER(IndexTbl[[#This Row],[Class]])</f>
        <v>1</v>
      </c>
      <c r="E5" s="17" t="str">
        <f>TRIM(IndexTbl[[#This Row],[Prefix]]&amp;IF(NOT(IndexTbl[[#This Row],[Dewey Number]])," "&amp;IndexTbl[[#This Row],[Class]],""))</f>
        <v>J</v>
      </c>
      <c r="F5" s="15" t="s">
        <v>87</v>
      </c>
      <c r="G5" s="15">
        <v>999.99</v>
      </c>
      <c r="H5" s="15" t="s">
        <v>251</v>
      </c>
      <c r="I5" s="16"/>
      <c r="J5" s="16" t="s">
        <v>90</v>
      </c>
      <c r="K5" s="4" t="s">
        <v>332</v>
      </c>
      <c r="M5" s="6"/>
      <c r="N5" s="6"/>
    </row>
    <row r="6" spans="1:14" ht="24.75" customHeight="1" thickTop="1" thickBot="1" x14ac:dyDescent="0.35">
      <c r="A6" s="15">
        <f>COUNTIF(IndexTbl[unique],IndexTbl[[#This Row],[unique]])</f>
        <v>1</v>
      </c>
      <c r="B6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6" t="s">
        <v>39</v>
      </c>
      <c r="D6" s="16" t="b">
        <f>ISNUMBER(IndexTbl[[#This Row],[Class]])</f>
        <v>1</v>
      </c>
      <c r="E6" s="17" t="str">
        <f>TRIM(IndexTbl[[#This Row],[Prefix]]&amp;IF(NOT(IndexTbl[[#This Row],[Dewey Number]])," "&amp;IndexTbl[[#This Row],[Class]],""))</f>
        <v>CD</v>
      </c>
      <c r="F6" s="15" t="s">
        <v>137</v>
      </c>
      <c r="G6" s="15">
        <v>999.99</v>
      </c>
      <c r="H6" s="15" t="s">
        <v>270</v>
      </c>
      <c r="I6" s="16"/>
      <c r="J6" s="16" t="s">
        <v>138</v>
      </c>
      <c r="K6" s="4" t="s">
        <v>332</v>
      </c>
      <c r="M6" s="6"/>
      <c r="N6" s="6"/>
    </row>
    <row r="7" spans="1:14" ht="24.75" customHeight="1" thickTop="1" thickBot="1" x14ac:dyDescent="0.35">
      <c r="A7" s="22">
        <f>COUNTIF(IndexTbl[unique],IndexTbl[[#This Row],[unique]])</f>
        <v>1</v>
      </c>
      <c r="B7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7" s="16" t="s">
        <v>50</v>
      </c>
      <c r="D7" s="16" t="b">
        <f>ISNUMBER(IndexTbl[[#This Row],[Class]])</f>
        <v>1</v>
      </c>
      <c r="E7" s="17" t="str">
        <f>TRIM(IndexTbl[[#This Row],[Prefix]]&amp;IF(NOT(IndexTbl[[#This Row],[Dewey Number]])," "&amp;IndexTbl[[#This Row],[Class]],""))</f>
        <v>TEEN</v>
      </c>
      <c r="F7" s="15" t="s">
        <v>205</v>
      </c>
      <c r="G7" s="15">
        <v>999.99</v>
      </c>
      <c r="H7" s="15" t="s">
        <v>279</v>
      </c>
      <c r="I7" s="16" t="s">
        <v>333</v>
      </c>
      <c r="J7" s="16" t="s">
        <v>206</v>
      </c>
      <c r="K7" s="4" t="s">
        <v>332</v>
      </c>
      <c r="M7" s="6"/>
      <c r="N7" s="6"/>
    </row>
    <row r="8" spans="1:14" ht="24.75" customHeight="1" thickTop="1" thickBot="1" x14ac:dyDescent="0.35">
      <c r="A8" s="15">
        <f>COUNTIF(IndexTbl[unique],IndexTbl[[#This Row],[unique]])</f>
        <v>1</v>
      </c>
      <c r="B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8" s="16" t="s">
        <v>50</v>
      </c>
      <c r="D8" s="16" t="b">
        <f>ISNUMBER(IndexTbl[[#This Row],[Class]])</f>
        <v>1</v>
      </c>
      <c r="E8" s="17" t="str">
        <f>TRIM(IndexTbl[[#This Row],[Prefix]]&amp;IF(NOT(IndexTbl[[#This Row],[Dewey Number]])," "&amp;IndexTbl[[#This Row],[Class]],""))</f>
        <v>TEEN</v>
      </c>
      <c r="F8" s="15" t="s">
        <v>205</v>
      </c>
      <c r="G8" s="15">
        <v>999.99</v>
      </c>
      <c r="H8" s="15" t="s">
        <v>279</v>
      </c>
      <c r="I8" s="16"/>
      <c r="J8" s="16" t="s">
        <v>206</v>
      </c>
      <c r="K8" s="4" t="s">
        <v>332</v>
      </c>
      <c r="M8" s="6"/>
      <c r="N8" s="6"/>
    </row>
    <row r="9" spans="1:14" ht="24.75" customHeight="1" thickTop="1" thickBot="1" x14ac:dyDescent="0.35">
      <c r="A9" s="22">
        <f>COUNTIF(IndexTbl[unique],IndexTbl[[#This Row],[unique]])</f>
        <v>1</v>
      </c>
      <c r="B9" s="23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9" s="16" t="s">
        <v>19</v>
      </c>
      <c r="D9" s="16" t="b">
        <f>ISNUMBER(IndexTbl[[#This Row],[Class]])</f>
        <v>0</v>
      </c>
      <c r="E9" s="17" t="str">
        <f>TRIM(IndexTbl[[#This Row],[Prefix]]&amp;IF(NOT(IndexTbl[[#This Row],[Dewey Number]])," "&amp;IndexTbl[[#This Row],[Class]],""))</f>
        <v>BIO</v>
      </c>
      <c r="F9" s="15"/>
      <c r="G9" s="15" t="s">
        <v>58</v>
      </c>
      <c r="H9" s="15" t="s">
        <v>265</v>
      </c>
      <c r="I9" s="16" t="s">
        <v>333</v>
      </c>
      <c r="J9" s="16" t="s">
        <v>135</v>
      </c>
      <c r="K9" s="4" t="s">
        <v>332</v>
      </c>
      <c r="M9" s="6"/>
      <c r="N9" s="6"/>
    </row>
    <row r="10" spans="1:14" ht="24.75" customHeight="1" thickTop="1" thickBot="1" x14ac:dyDescent="0.35">
      <c r="A10" s="15">
        <f>COUNTIF(IndexTbl[unique],IndexTbl[[#This Row],[unique]])</f>
        <v>1</v>
      </c>
      <c r="B10" s="16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10" s="16" t="s">
        <v>19</v>
      </c>
      <c r="D10" s="16" t="b">
        <f>ISNUMBER(IndexTbl[[#This Row],[Class]])</f>
        <v>0</v>
      </c>
      <c r="E10" s="17" t="str">
        <f>TRIM(IndexTbl[[#This Row],[Prefix]]&amp;IF(NOT(IndexTbl[[#This Row],[Dewey Number]])," "&amp;IndexTbl[[#This Row],[Class]],""))</f>
        <v>BIO</v>
      </c>
      <c r="F10" s="15"/>
      <c r="G10" s="15" t="s">
        <v>58</v>
      </c>
      <c r="H10" s="15" t="s">
        <v>265</v>
      </c>
      <c r="I10" s="16"/>
      <c r="J10" s="16" t="s">
        <v>135</v>
      </c>
      <c r="K10" s="4" t="s">
        <v>332</v>
      </c>
      <c r="M10" s="6"/>
      <c r="N10" s="6"/>
    </row>
    <row r="11" spans="1:14" ht="24.75" customHeight="1" thickTop="1" thickBot="1" x14ac:dyDescent="0.35">
      <c r="A11" s="15">
        <f>COUNTIF(IndexTbl[unique],IndexTbl[[#This Row],[unique]])</f>
        <v>1</v>
      </c>
      <c r="B1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6" t="s">
        <v>42</v>
      </c>
      <c r="D11" s="16" t="b">
        <f>ISNUMBER(IndexTbl[[#This Row],[Class]])</f>
        <v>0</v>
      </c>
      <c r="E11" s="17" t="str">
        <f>TRIM(IndexTbl[[#This Row],[Prefix]]&amp;IF(NOT(IndexTbl[[#This Row],[Dewey Number]])," "&amp;IndexTbl[[#This Row],[Class]],""))</f>
        <v>J BIO</v>
      </c>
      <c r="F11" s="15" t="s">
        <v>87</v>
      </c>
      <c r="G11" s="15" t="s">
        <v>58</v>
      </c>
      <c r="H11" s="15" t="s">
        <v>265</v>
      </c>
      <c r="I11" s="16"/>
      <c r="J11" s="16" t="s">
        <v>103</v>
      </c>
      <c r="K11" s="4" t="s">
        <v>332</v>
      </c>
      <c r="M11" s="6"/>
      <c r="N11" s="6"/>
    </row>
    <row r="12" spans="1:14" ht="24.75" customHeight="1" thickTop="1" thickBot="1" x14ac:dyDescent="0.35">
      <c r="A12" s="15">
        <f>COUNTIF(IndexTbl[unique],IndexTbl[[#This Row],[unique]])</f>
        <v>1</v>
      </c>
      <c r="B12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2" s="16" t="s">
        <v>39</v>
      </c>
      <c r="D12" s="16" t="b">
        <f>ISNUMBER(IndexTbl[[#This Row],[Class]])</f>
        <v>0</v>
      </c>
      <c r="E12" s="17" t="str">
        <f>TRIM(IndexTbl[[#This Row],[Prefix]]&amp;IF(NOT(IndexTbl[[#This Row],[Dewey Number]])," "&amp;IndexTbl[[#This Row],[Class]],""))</f>
        <v>CD BIO</v>
      </c>
      <c r="F12" s="15" t="s">
        <v>137</v>
      </c>
      <c r="G12" s="15" t="s">
        <v>58</v>
      </c>
      <c r="H12" s="15" t="s">
        <v>271</v>
      </c>
      <c r="I12" s="16"/>
      <c r="J12" s="16" t="s">
        <v>139</v>
      </c>
      <c r="K12" s="4" t="s">
        <v>332</v>
      </c>
      <c r="M12" s="6"/>
      <c r="N12" s="6"/>
    </row>
    <row r="13" spans="1:14" ht="24.75" customHeight="1" thickTop="1" thickBot="1" x14ac:dyDescent="0.35">
      <c r="A13" s="22">
        <f>COUNTIF(IndexTbl[unique],IndexTbl[[#This Row],[unique]])</f>
        <v>1</v>
      </c>
      <c r="B13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3" s="16" t="s">
        <v>48</v>
      </c>
      <c r="D13" s="16" t="b">
        <f>ISNUMBER(IndexTbl[[#This Row],[Class]])</f>
        <v>0</v>
      </c>
      <c r="E13" s="17" t="str">
        <f>TRIM(IndexTbl[[#This Row],[Prefix]]&amp;IF(NOT(IndexTbl[[#This Row],[Dewey Number]])," "&amp;IndexTbl[[#This Row],[Class]],""))</f>
        <v>TEEN BIO</v>
      </c>
      <c r="F13" s="15" t="s">
        <v>205</v>
      </c>
      <c r="G13" s="15" t="s">
        <v>58</v>
      </c>
      <c r="H13" s="15" t="s">
        <v>252</v>
      </c>
      <c r="I13" s="16" t="s">
        <v>333</v>
      </c>
      <c r="J13" s="16" t="s">
        <v>48</v>
      </c>
      <c r="K13" s="4" t="s">
        <v>332</v>
      </c>
      <c r="M13" s="6"/>
      <c r="N13" s="6"/>
    </row>
    <row r="14" spans="1:14" ht="24.75" customHeight="1" thickTop="1" thickBot="1" x14ac:dyDescent="0.35">
      <c r="A14" s="15">
        <f>COUNTIF(IndexTbl[unique],IndexTbl[[#This Row],[unique]])</f>
        <v>1</v>
      </c>
      <c r="B1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6" t="s">
        <v>48</v>
      </c>
      <c r="D14" s="16" t="b">
        <f>ISNUMBER(IndexTbl[[#This Row],[Class]])</f>
        <v>0</v>
      </c>
      <c r="E14" s="17" t="str">
        <f>TRIM(IndexTbl[[#This Row],[Prefix]]&amp;IF(NOT(IndexTbl[[#This Row],[Dewey Number]])," "&amp;IndexTbl[[#This Row],[Class]],""))</f>
        <v>TEEN BIO</v>
      </c>
      <c r="F14" s="15" t="s">
        <v>205</v>
      </c>
      <c r="G14" s="15" t="s">
        <v>58</v>
      </c>
      <c r="H14" s="15" t="s">
        <v>252</v>
      </c>
      <c r="I14" s="16"/>
      <c r="J14" s="16" t="s">
        <v>48</v>
      </c>
      <c r="K14" s="4" t="s">
        <v>332</v>
      </c>
      <c r="M14" s="6"/>
      <c r="N14" s="6"/>
    </row>
    <row r="15" spans="1:14" ht="24.75" customHeight="1" thickTop="1" thickBot="1" x14ac:dyDescent="0.35">
      <c r="A15" s="22">
        <f>COUNTIF(IndexTbl[unique],IndexTbl[[#This Row],[unique]])</f>
        <v>1</v>
      </c>
      <c r="B15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5" s="16" t="s">
        <v>3</v>
      </c>
      <c r="D15" s="16" t="b">
        <f>ISNUMBER(IndexTbl[[#This Row],[Class]])</f>
        <v>0</v>
      </c>
      <c r="E15" s="17" t="str">
        <f>TRIM(IndexTbl[[#This Row],[Prefix]]&amp;IF(NOT(IndexTbl[[#This Row],[Dewey Number]])," "&amp;IndexTbl[[#This Row],[Class]],""))</f>
        <v>FIC</v>
      </c>
      <c r="F15" s="15"/>
      <c r="G15" s="15" t="s">
        <v>61</v>
      </c>
      <c r="H15" s="15" t="s">
        <v>267</v>
      </c>
      <c r="I15" s="16" t="s">
        <v>333</v>
      </c>
      <c r="J15" s="16" t="s">
        <v>133</v>
      </c>
      <c r="K15" s="4" t="s">
        <v>332</v>
      </c>
      <c r="M15" s="6"/>
      <c r="N15" s="6"/>
    </row>
    <row r="16" spans="1:14" ht="24.75" customHeight="1" thickTop="1" thickBot="1" x14ac:dyDescent="0.35">
      <c r="A16" s="22">
        <f>COUNTIF(IndexTbl[unique],IndexTbl[[#This Row],[unique]])</f>
        <v>1</v>
      </c>
      <c r="B16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6" s="16" t="s">
        <v>1</v>
      </c>
      <c r="D16" s="16" t="b">
        <f>ISNUMBER(IndexTbl[[#This Row],[Class]])</f>
        <v>0</v>
      </c>
      <c r="E16" s="17" t="str">
        <f>TRIM(IndexTbl[[#This Row],[Prefix]]&amp;IF(NOT(IndexTbl[[#This Row],[Dewey Number]])," "&amp;IndexTbl[[#This Row],[Class]],""))</f>
        <v>FIC</v>
      </c>
      <c r="F16" s="15"/>
      <c r="G16" s="15" t="s">
        <v>61</v>
      </c>
      <c r="H16" s="15" t="s">
        <v>267</v>
      </c>
      <c r="I16" s="16" t="s">
        <v>333</v>
      </c>
      <c r="J16" s="16" t="s">
        <v>133</v>
      </c>
      <c r="K16" s="4" t="s">
        <v>332</v>
      </c>
      <c r="M16" s="6"/>
      <c r="N16" s="6"/>
    </row>
    <row r="17" spans="1:14" ht="24.75" customHeight="1" thickTop="1" thickBot="1" x14ac:dyDescent="0.35">
      <c r="A17" s="22">
        <f>COUNTIF(IndexTbl[unique],IndexTbl[[#This Row],[unique]])</f>
        <v>1</v>
      </c>
      <c r="B17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17" s="16" t="s">
        <v>2</v>
      </c>
      <c r="D17" s="16" t="b">
        <f>ISNUMBER(IndexTbl[[#This Row],[Class]])</f>
        <v>0</v>
      </c>
      <c r="E17" s="17" t="str">
        <f>TRIM(IndexTbl[[#This Row],[Prefix]]&amp;IF(NOT(IndexTbl[[#This Row],[Dewey Number]])," "&amp;IndexTbl[[#This Row],[Class]],""))</f>
        <v>FIC</v>
      </c>
      <c r="F17" s="15"/>
      <c r="G17" s="15" t="s">
        <v>61</v>
      </c>
      <c r="H17" s="15" t="s">
        <v>267</v>
      </c>
      <c r="I17" s="16" t="s">
        <v>333</v>
      </c>
      <c r="J17" s="16" t="s">
        <v>133</v>
      </c>
      <c r="K17" s="4" t="s">
        <v>332</v>
      </c>
      <c r="M17" s="6"/>
      <c r="N17" s="6"/>
    </row>
    <row r="18" spans="1:14" ht="24.75" customHeight="1" thickTop="1" thickBot="1" x14ac:dyDescent="0.35">
      <c r="A18" s="15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8" s="16" t="s">
        <v>3</v>
      </c>
      <c r="D18" s="16" t="b">
        <f>ISNUMBER(IndexTbl[[#This Row],[Class]])</f>
        <v>0</v>
      </c>
      <c r="E18" s="17" t="str">
        <f>TRIM(IndexTbl[[#This Row],[Prefix]]&amp;IF(NOT(IndexTbl[[#This Row],[Dewey Number]])," "&amp;IndexTbl[[#This Row],[Class]],""))</f>
        <v>FIC</v>
      </c>
      <c r="F18" s="15"/>
      <c r="G18" s="15" t="s">
        <v>61</v>
      </c>
      <c r="H18" s="15" t="s">
        <v>267</v>
      </c>
      <c r="I18" s="16"/>
      <c r="J18" s="16" t="s">
        <v>133</v>
      </c>
      <c r="K18" s="4" t="s">
        <v>332</v>
      </c>
      <c r="M18" s="6"/>
      <c r="N18" s="6"/>
    </row>
    <row r="19" spans="1:14" ht="24.75" customHeight="1" thickTop="1" thickBot="1" x14ac:dyDescent="0.35">
      <c r="A19" s="15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9" s="16" t="s">
        <v>1</v>
      </c>
      <c r="D19" s="16" t="b">
        <f>ISNUMBER(IndexTbl[[#This Row],[Class]])</f>
        <v>0</v>
      </c>
      <c r="E19" s="17" t="str">
        <f>TRIM(IndexTbl[[#This Row],[Prefix]]&amp;IF(NOT(IndexTbl[[#This Row],[Dewey Number]])," "&amp;IndexTbl[[#This Row],[Class]],""))</f>
        <v>FIC</v>
      </c>
      <c r="F19" s="15"/>
      <c r="G19" s="15" t="s">
        <v>61</v>
      </c>
      <c r="H19" s="15" t="s">
        <v>267</v>
      </c>
      <c r="I19" s="16"/>
      <c r="J19" s="16" t="s">
        <v>133</v>
      </c>
      <c r="K19" s="4" t="s">
        <v>332</v>
      </c>
      <c r="M19" s="6"/>
      <c r="N19" s="6"/>
    </row>
    <row r="20" spans="1:14" ht="24.75" customHeight="1" thickTop="1" thickBot="1" x14ac:dyDescent="0.35">
      <c r="A20" s="15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20" s="16" t="s">
        <v>2</v>
      </c>
      <c r="D20" s="16" t="b">
        <f>ISNUMBER(IndexTbl[[#This Row],[Class]])</f>
        <v>0</v>
      </c>
      <c r="E20" s="17" t="str">
        <f>TRIM(IndexTbl[[#This Row],[Prefix]]&amp;IF(NOT(IndexTbl[[#This Row],[Dewey Number]])," "&amp;IndexTbl[[#This Row],[Class]],""))</f>
        <v>FIC</v>
      </c>
      <c r="F20" s="15"/>
      <c r="G20" s="15" t="s">
        <v>61</v>
      </c>
      <c r="H20" s="15" t="s">
        <v>267</v>
      </c>
      <c r="I20" s="16"/>
      <c r="J20" s="16" t="s">
        <v>133</v>
      </c>
      <c r="K20" s="4" t="s">
        <v>332</v>
      </c>
      <c r="M20" s="6"/>
      <c r="N20" s="6"/>
    </row>
    <row r="21" spans="1:14" ht="24.75" customHeight="1" thickTop="1" thickBot="1" x14ac:dyDescent="0.35">
      <c r="A21" s="22">
        <f>COUNTIF(IndexTbl[unique],IndexTbl[[#This Row],[unique]])</f>
        <v>1</v>
      </c>
      <c r="B21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1" s="16" t="s">
        <v>23</v>
      </c>
      <c r="D21" s="16" t="b">
        <f>ISNUMBER(IndexTbl[[#This Row],[Class]])</f>
        <v>0</v>
      </c>
      <c r="E21" s="17" t="str">
        <f>TRIM(IndexTbl[[#This Row],[Prefix]]&amp;IF(NOT(IndexTbl[[#This Row],[Dewey Number]])," "&amp;IndexTbl[[#This Row],[Class]],""))</f>
        <v>FIC</v>
      </c>
      <c r="F21" s="15"/>
      <c r="G21" s="15" t="s">
        <v>61</v>
      </c>
      <c r="H21" s="15" t="s">
        <v>267</v>
      </c>
      <c r="I21" s="16" t="s">
        <v>333</v>
      </c>
      <c r="J21" s="16" t="s">
        <v>133</v>
      </c>
      <c r="K21" s="4" t="s">
        <v>332</v>
      </c>
      <c r="M21" s="6"/>
      <c r="N21" s="6"/>
    </row>
    <row r="22" spans="1:14" ht="24.75" customHeight="1" thickTop="1" thickBot="1" x14ac:dyDescent="0.35">
      <c r="A22" s="15">
        <f>COUNTIF(IndexTbl[unique],IndexTbl[[#This Row],[unique]])</f>
        <v>1</v>
      </c>
      <c r="B22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2" s="16" t="s">
        <v>23</v>
      </c>
      <c r="D22" s="16" t="b">
        <f>ISNUMBER(IndexTbl[[#This Row],[Class]])</f>
        <v>0</v>
      </c>
      <c r="E22" s="17" t="str">
        <f>TRIM(IndexTbl[[#This Row],[Prefix]]&amp;IF(NOT(IndexTbl[[#This Row],[Dewey Number]])," "&amp;IndexTbl[[#This Row],[Class]],""))</f>
        <v>FIC</v>
      </c>
      <c r="F22" s="15"/>
      <c r="G22" s="15" t="s">
        <v>61</v>
      </c>
      <c r="H22" s="15" t="s">
        <v>267</v>
      </c>
      <c r="I22" s="16"/>
      <c r="J22" s="16" t="s">
        <v>133</v>
      </c>
      <c r="K22" s="4" t="s">
        <v>332</v>
      </c>
      <c r="M22" s="6"/>
      <c r="N22" s="6"/>
    </row>
    <row r="23" spans="1:14" ht="24.75" customHeight="1" thickTop="1" thickBot="1" x14ac:dyDescent="0.35">
      <c r="A23" s="15">
        <f>COUNTIF(IndexTbl[unique],IndexTbl[[#This Row],[unique]])</f>
        <v>1</v>
      </c>
      <c r="B23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3" s="16" t="s">
        <v>39</v>
      </c>
      <c r="D23" s="16" t="b">
        <f>ISNUMBER(IndexTbl[[#This Row],[Class]])</f>
        <v>0</v>
      </c>
      <c r="E23" s="17" t="str">
        <f>TRIM(IndexTbl[[#This Row],[Prefix]]&amp;IF(NOT(IndexTbl[[#This Row],[Dewey Number]])," "&amp;IndexTbl[[#This Row],[Class]],""))</f>
        <v>CD FIC</v>
      </c>
      <c r="F23" s="15" t="s">
        <v>137</v>
      </c>
      <c r="G23" s="15" t="s">
        <v>61</v>
      </c>
      <c r="H23" s="15" t="s">
        <v>269</v>
      </c>
      <c r="I23" s="16"/>
      <c r="J23" s="16" t="s">
        <v>136</v>
      </c>
      <c r="K23" s="4" t="s">
        <v>332</v>
      </c>
      <c r="M23" s="6"/>
      <c r="N23" s="6"/>
    </row>
    <row r="24" spans="1:14" ht="24.75" customHeight="1" thickTop="1" thickBot="1" x14ac:dyDescent="0.35">
      <c r="A24" s="15">
        <f>COUNTIF(IndexTbl[unique],IndexTbl[[#This Row],[unique]])</f>
        <v>1</v>
      </c>
      <c r="B24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4" s="18" t="s">
        <v>43</v>
      </c>
      <c r="D24" s="18" t="b">
        <f>ISNUMBER(IndexTbl[[#This Row],[Class]])</f>
        <v>1</v>
      </c>
      <c r="E24" s="17" t="str">
        <f>TRIM(IndexTbl[[#This Row],[Prefix]]&amp;IF(NOT(IndexTbl[[#This Row],[Dewey Number]])," "&amp;IndexTbl[[#This Row],[Class]],""))</f>
        <v>J DVD-ED</v>
      </c>
      <c r="F24" s="19" t="s">
        <v>98</v>
      </c>
      <c r="G24" s="19">
        <v>999.99</v>
      </c>
      <c r="H24" s="19" t="s">
        <v>262</v>
      </c>
      <c r="I24" s="18"/>
      <c r="J24" s="18" t="s">
        <v>97</v>
      </c>
      <c r="K24" s="4" t="s">
        <v>332</v>
      </c>
      <c r="M24" s="6"/>
      <c r="N24" s="6"/>
    </row>
    <row r="25" spans="1:14" ht="24.75" customHeight="1" thickTop="1" thickBot="1" x14ac:dyDescent="0.35">
      <c r="A25" s="15">
        <f>COUNTIF(IndexTbl[unique],IndexTbl[[#This Row],[unique]])</f>
        <v>1</v>
      </c>
      <c r="B25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5" s="18" t="s">
        <v>44</v>
      </c>
      <c r="D25" s="18" t="b">
        <f>ISNUMBER(IndexTbl[[#This Row],[Class]])</f>
        <v>1</v>
      </c>
      <c r="E25" s="17" t="str">
        <f>TRIM(IndexTbl[[#This Row],[Prefix]]&amp;IF(NOT(IndexTbl[[#This Row],[Dewey Number]])," "&amp;IndexTbl[[#This Row],[Class]],""))</f>
        <v>J LGE-TYPE</v>
      </c>
      <c r="F25" s="19" t="s">
        <v>100</v>
      </c>
      <c r="G25" s="19">
        <v>999.99</v>
      </c>
      <c r="H25" s="19" t="s">
        <v>264</v>
      </c>
      <c r="I25" s="18"/>
      <c r="J25" s="18" t="s">
        <v>101</v>
      </c>
      <c r="K25" s="4" t="s">
        <v>332</v>
      </c>
      <c r="M25" s="6"/>
      <c r="N25" s="6"/>
    </row>
    <row r="26" spans="1:14" ht="24.75" customHeight="1" thickTop="1" thickBot="1" x14ac:dyDescent="0.35">
      <c r="A26" s="15">
        <f>COUNTIF(IndexTbl[unique],IndexTbl[[#This Row],[unique]])</f>
        <v>1</v>
      </c>
      <c r="B2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6" s="18" t="s">
        <v>40</v>
      </c>
      <c r="D26" s="18" t="b">
        <f>ISNUMBER(IndexTbl[[#This Row],[Class]])</f>
        <v>1</v>
      </c>
      <c r="E26" s="17" t="str">
        <f>TRIM(IndexTbl[[#This Row],[Prefix]]&amp;IF(NOT(IndexTbl[[#This Row],[Dewey Number]])," "&amp;IndexTbl[[#This Row],[Class]],""))</f>
        <v>DVD-ED</v>
      </c>
      <c r="F26" s="19" t="s">
        <v>142</v>
      </c>
      <c r="G26" s="19">
        <v>999.99</v>
      </c>
      <c r="H26" s="19" t="s">
        <v>273</v>
      </c>
      <c r="I26" s="18"/>
      <c r="J26" s="18" t="s">
        <v>141</v>
      </c>
      <c r="K26" s="4" t="s">
        <v>332</v>
      </c>
      <c r="M26" s="6"/>
      <c r="N26" s="6"/>
    </row>
    <row r="27" spans="1:14" ht="24.75" customHeight="1" thickTop="1" thickBot="1" x14ac:dyDescent="0.35">
      <c r="A27" s="15">
        <f>COUNTIF(IndexTbl[unique],IndexTbl[[#This Row],[unique]])</f>
        <v>1</v>
      </c>
      <c r="B27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7" s="18" t="s">
        <v>49</v>
      </c>
      <c r="D27" s="18" t="b">
        <f>ISNUMBER(IndexTbl[[#This Row],[Class]])</f>
        <v>1</v>
      </c>
      <c r="E27" s="17" t="str">
        <f>TRIM(IndexTbl[[#This Row],[Prefix]]&amp;IF(NOT(IndexTbl[[#This Row],[Dewey Number]])," "&amp;IndexTbl[[#This Row],[Class]],""))</f>
        <v>TEEN LGE-TYPE</v>
      </c>
      <c r="F27" s="19" t="s">
        <v>212</v>
      </c>
      <c r="G27" s="19">
        <v>999.99</v>
      </c>
      <c r="H27" s="19" t="s">
        <v>283</v>
      </c>
      <c r="I27" s="18"/>
      <c r="J27" s="18" t="s">
        <v>213</v>
      </c>
      <c r="K27" s="4" t="s">
        <v>332</v>
      </c>
      <c r="M27" s="6"/>
      <c r="N27" s="6"/>
    </row>
    <row r="28" spans="1:14" ht="24.75" customHeight="1" thickTop="1" thickBot="1" x14ac:dyDescent="0.35">
      <c r="A28" s="15">
        <f>COUNTIF(IndexTbl[unique],IndexTbl[[#This Row],[unique]])</f>
        <v>1</v>
      </c>
      <c r="B2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8" s="18" t="s">
        <v>44</v>
      </c>
      <c r="D28" s="18" t="b">
        <f>ISNUMBER(IndexTbl[[#This Row],[Class]])</f>
        <v>0</v>
      </c>
      <c r="E28" s="17" t="str">
        <f>TRIM(IndexTbl[[#This Row],[Prefix]]&amp;IF(NOT(IndexTbl[[#This Row],[Dewey Number]])," "&amp;IndexTbl[[#This Row],[Class]],""))</f>
        <v>J LGE-TYPE BIO</v>
      </c>
      <c r="F28" s="19" t="s">
        <v>100</v>
      </c>
      <c r="G28" s="19" t="s">
        <v>58</v>
      </c>
      <c r="H28" s="19" t="s">
        <v>265</v>
      </c>
      <c r="I28" s="18"/>
      <c r="J28" s="18" t="s">
        <v>102</v>
      </c>
      <c r="K28" s="4" t="s">
        <v>332</v>
      </c>
      <c r="M28" s="6"/>
      <c r="N28" s="6"/>
    </row>
    <row r="29" spans="1:14" ht="24.75" customHeight="1" thickTop="1" thickBot="1" x14ac:dyDescent="0.35">
      <c r="A29" s="15">
        <f>COUNTIF(IndexTbl[unique],IndexTbl[[#This Row],[unique]])</f>
        <v>1</v>
      </c>
      <c r="B29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9" s="18" t="s">
        <v>49</v>
      </c>
      <c r="D29" s="18" t="b">
        <f>ISNUMBER(IndexTbl[[#This Row],[Class]])</f>
        <v>0</v>
      </c>
      <c r="E29" s="17" t="str">
        <f>TRIM(IndexTbl[[#This Row],[Prefix]]&amp;IF(NOT(IndexTbl[[#This Row],[Dewey Number]])," "&amp;IndexTbl[[#This Row],[Class]],""))</f>
        <v>TEEN LGE-TYPE BIO</v>
      </c>
      <c r="F29" s="19" t="s">
        <v>212</v>
      </c>
      <c r="G29" s="19" t="s">
        <v>58</v>
      </c>
      <c r="H29" s="19" t="s">
        <v>284</v>
      </c>
      <c r="I29" s="18"/>
      <c r="J29" s="18" t="s">
        <v>214</v>
      </c>
      <c r="K29" s="4" t="s">
        <v>332</v>
      </c>
      <c r="M29" s="6"/>
      <c r="N29" s="6"/>
    </row>
    <row r="30" spans="1:14" ht="24.75" customHeight="1" thickTop="1" thickBot="1" x14ac:dyDescent="0.35">
      <c r="A30" s="15">
        <f>COUNTIF(IndexTbl[unique],IndexTbl[[#This Row],[unique]])</f>
        <v>1</v>
      </c>
      <c r="B3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0" s="16" t="s">
        <v>20</v>
      </c>
      <c r="D30" s="16" t="b">
        <f>ISNUMBER(IndexTbl[[#This Row],[Class]])</f>
        <v>0</v>
      </c>
      <c r="E30" s="17" t="str">
        <f>TRIM(IndexTbl[[#This Row],[Prefix]]&amp;IF(NOT(IndexTbl[[#This Row],[Dewey Number]])," "&amp;IndexTbl[[#This Row],[Class]],""))</f>
        <v>TEEN CD FIC</v>
      </c>
      <c r="F30" s="15" t="s">
        <v>208</v>
      </c>
      <c r="G30" s="15" t="s">
        <v>61</v>
      </c>
      <c r="H30" s="15" t="s">
        <v>280</v>
      </c>
      <c r="I30" s="16"/>
      <c r="J30" s="16" t="s">
        <v>207</v>
      </c>
      <c r="K30" s="4" t="s">
        <v>332</v>
      </c>
      <c r="M30" s="6"/>
      <c r="N30" s="6"/>
    </row>
    <row r="31" spans="1:14" ht="24.75" customHeight="1" thickTop="1" thickBot="1" x14ac:dyDescent="0.35">
      <c r="A31" s="15">
        <f>COUNTIF(IndexTbl[unique],IndexTbl[[#This Row],[unique]])</f>
        <v>1</v>
      </c>
      <c r="B31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1" s="16" t="s">
        <v>20</v>
      </c>
      <c r="D31" s="16" t="b">
        <f>ISNUMBER(IndexTbl[[#This Row],[Class]])</f>
        <v>1</v>
      </c>
      <c r="E31" s="17" t="str">
        <f>TRIM(IndexTbl[[#This Row],[Prefix]]&amp;IF(NOT(IndexTbl[[#This Row],[Dewey Number]])," "&amp;IndexTbl[[#This Row],[Class]],""))</f>
        <v>TEEN CD</v>
      </c>
      <c r="F31" s="15" t="s">
        <v>208</v>
      </c>
      <c r="G31" s="15">
        <v>999.99</v>
      </c>
      <c r="H31" s="15" t="s">
        <v>281</v>
      </c>
      <c r="I31" s="16"/>
      <c r="J31" s="16" t="s">
        <v>209</v>
      </c>
      <c r="K31" s="4" t="s">
        <v>332</v>
      </c>
      <c r="M31" s="6"/>
      <c r="N31" s="6"/>
    </row>
    <row r="32" spans="1:14" ht="24.75" customHeight="1" thickTop="1" thickBot="1" x14ac:dyDescent="0.35">
      <c r="A32" s="15">
        <f>COUNTIF(IndexTbl[unique],IndexTbl[[#This Row],[unique]])</f>
        <v>1</v>
      </c>
      <c r="B32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2" s="16" t="s">
        <v>20</v>
      </c>
      <c r="D32" s="16" t="b">
        <f>ISNUMBER(IndexTbl[[#This Row],[Class]])</f>
        <v>0</v>
      </c>
      <c r="E32" s="17" t="str">
        <f>TRIM(IndexTbl[[#This Row],[Prefix]]&amp;IF(NOT(IndexTbl[[#This Row],[Dewey Number]])," "&amp;IndexTbl[[#This Row],[Class]],""))</f>
        <v>TEEN CD BIO</v>
      </c>
      <c r="F32" s="15" t="s">
        <v>208</v>
      </c>
      <c r="G32" s="15" t="s">
        <v>58</v>
      </c>
      <c r="H32" s="15" t="s">
        <v>282</v>
      </c>
      <c r="I32" s="16"/>
      <c r="J32" s="16" t="s">
        <v>210</v>
      </c>
      <c r="K32" s="4" t="s">
        <v>332</v>
      </c>
      <c r="M32" s="6"/>
      <c r="N32" s="6"/>
    </row>
    <row r="33" spans="1:14" ht="24.75" customHeight="1" thickTop="1" thickBot="1" x14ac:dyDescent="0.35">
      <c r="A33" s="22">
        <f>COUNTIF(IndexTbl[unique],IndexTbl[[#This Row],[unique]])</f>
        <v>1</v>
      </c>
      <c r="B33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3" s="16" t="s">
        <v>21</v>
      </c>
      <c r="D33" s="16" t="b">
        <f>ISNUMBER(IndexTbl[[#This Row],[Class]])</f>
        <v>0</v>
      </c>
      <c r="E33" s="17" t="str">
        <f>TRIM(IndexTbl[[#This Row],[Prefix]]&amp;IF(NOT(IndexTbl[[#This Row],[Dewey Number]])," "&amp;IndexTbl[[#This Row],[Class]],""))</f>
        <v>TEEN</v>
      </c>
      <c r="F33" s="15" t="s">
        <v>205</v>
      </c>
      <c r="G33" s="15"/>
      <c r="H33" s="15" t="s">
        <v>278</v>
      </c>
      <c r="I33" s="16" t="s">
        <v>333</v>
      </c>
      <c r="J33" s="16" t="s">
        <v>21</v>
      </c>
      <c r="K33" s="4" t="s">
        <v>332</v>
      </c>
      <c r="M33" s="6"/>
      <c r="N33" s="6"/>
    </row>
    <row r="34" spans="1:14" ht="24.75" customHeight="1" thickTop="1" thickBot="1" x14ac:dyDescent="0.35">
      <c r="A34" s="15">
        <f>COUNTIF(IndexTbl[unique],IndexTbl[[#This Row],[unique]])</f>
        <v>1</v>
      </c>
      <c r="B3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4" s="16" t="s">
        <v>21</v>
      </c>
      <c r="D34" s="16" t="b">
        <f>ISNUMBER(IndexTbl[[#This Row],[Class]])</f>
        <v>0</v>
      </c>
      <c r="E34" s="17" t="str">
        <f>TRIM(IndexTbl[[#This Row],[Prefix]]&amp;IF(NOT(IndexTbl[[#This Row],[Dewey Number]])," "&amp;IndexTbl[[#This Row],[Class]],""))</f>
        <v>TEEN</v>
      </c>
      <c r="F34" s="15" t="s">
        <v>205</v>
      </c>
      <c r="G34" s="15"/>
      <c r="H34" s="15" t="s">
        <v>278</v>
      </c>
      <c r="I34" s="16"/>
      <c r="J34" s="16" t="s">
        <v>21</v>
      </c>
      <c r="K34" s="4" t="s">
        <v>332</v>
      </c>
      <c r="M34" s="6"/>
      <c r="N34" s="6"/>
    </row>
    <row r="35" spans="1:14" ht="24.75" customHeight="1" thickTop="1" thickBot="1" x14ac:dyDescent="0.35">
      <c r="A35" s="15">
        <f>COUNTIF(IndexTbl[unique],IndexTbl[[#This Row],[unique]])</f>
        <v>1</v>
      </c>
      <c r="B35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5" s="18" t="s">
        <v>22</v>
      </c>
      <c r="D35" s="18" t="b">
        <f>ISNUMBER(IndexTbl[[#This Row],[Class]])</f>
        <v>0</v>
      </c>
      <c r="E35" s="17" t="str">
        <f>TRIM(IndexTbl[[#This Row],[Prefix]]&amp;IF(NOT(IndexTbl[[#This Row],[Dewey Number]])," "&amp;IndexTbl[[#This Row],[Class]],""))</f>
        <v>LGE-TYPE</v>
      </c>
      <c r="F35" s="19" t="s">
        <v>144</v>
      </c>
      <c r="G35" s="19"/>
      <c r="H35" s="19" t="s">
        <v>274</v>
      </c>
      <c r="I35" s="18"/>
      <c r="J35" s="18" t="s">
        <v>143</v>
      </c>
      <c r="K35" s="4" t="s">
        <v>332</v>
      </c>
      <c r="M35" s="6"/>
      <c r="N35" s="6"/>
    </row>
    <row r="36" spans="1:14" ht="24.75" customHeight="1" thickTop="1" thickBot="1" x14ac:dyDescent="0.35">
      <c r="A36" s="15">
        <f>COUNTIF(IndexTbl[unique],IndexTbl[[#This Row],[unique]])</f>
        <v>1</v>
      </c>
      <c r="B36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6" s="18" t="s">
        <v>22</v>
      </c>
      <c r="D36" s="18" t="b">
        <f>ISNUMBER(IndexTbl[[#This Row],[Class]])</f>
        <v>1</v>
      </c>
      <c r="E36" s="17" t="str">
        <f>TRIM(IndexTbl[[#This Row],[Prefix]]&amp;IF(NOT(IndexTbl[[#This Row],[Dewey Number]])," "&amp;IndexTbl[[#This Row],[Class]],""))</f>
        <v>LGE-TYPE</v>
      </c>
      <c r="F36" s="19" t="s">
        <v>144</v>
      </c>
      <c r="G36" s="19">
        <v>999.99</v>
      </c>
      <c r="H36" s="19" t="s">
        <v>275</v>
      </c>
      <c r="I36" s="18"/>
      <c r="J36" s="18" t="s">
        <v>145</v>
      </c>
      <c r="K36" s="4" t="s">
        <v>332</v>
      </c>
      <c r="M36" s="6"/>
      <c r="N36" s="6"/>
    </row>
    <row r="37" spans="1:14" ht="24.75" customHeight="1" thickTop="1" thickBot="1" x14ac:dyDescent="0.35">
      <c r="A37" s="15">
        <f>COUNTIF(IndexTbl[unique],IndexTbl[[#This Row],[unique]])</f>
        <v>1</v>
      </c>
      <c r="B37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7" s="18" t="s">
        <v>22</v>
      </c>
      <c r="D37" s="18" t="b">
        <f>ISNUMBER(IndexTbl[[#This Row],[Class]])</f>
        <v>0</v>
      </c>
      <c r="E37" s="17" t="str">
        <f>TRIM(IndexTbl[[#This Row],[Prefix]]&amp;IF(NOT(IndexTbl[[#This Row],[Dewey Number]])," "&amp;IndexTbl[[#This Row],[Class]],""))</f>
        <v>LGE-TYPE BIO</v>
      </c>
      <c r="F37" s="19" t="s">
        <v>144</v>
      </c>
      <c r="G37" s="19" t="s">
        <v>58</v>
      </c>
      <c r="H37" s="19" t="s">
        <v>265</v>
      </c>
      <c r="I37" s="18"/>
      <c r="J37" s="18" t="s">
        <v>146</v>
      </c>
      <c r="K37" s="4" t="s">
        <v>332</v>
      </c>
      <c r="M37" s="6"/>
      <c r="N37" s="6"/>
    </row>
    <row r="38" spans="1:14" ht="24.75" customHeight="1" thickTop="1" thickBot="1" x14ac:dyDescent="0.35">
      <c r="A38" s="15">
        <f>COUNTIF(IndexTbl[unique],IndexTbl[[#This Row],[unique]])</f>
        <v>1</v>
      </c>
      <c r="B3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8" s="18" t="s">
        <v>44</v>
      </c>
      <c r="D38" s="18" t="b">
        <f>ISNUMBER(IndexTbl[[#This Row],[Class]])</f>
        <v>0</v>
      </c>
      <c r="E38" s="17" t="str">
        <f>TRIM(IndexTbl[[#This Row],[Prefix]]&amp;IF(NOT(IndexTbl[[#This Row],[Dewey Number]])," "&amp;IndexTbl[[#This Row],[Class]],""))</f>
        <v>J LGE-TYPE</v>
      </c>
      <c r="F38" s="19" t="s">
        <v>100</v>
      </c>
      <c r="G38" s="19"/>
      <c r="H38" s="19" t="s">
        <v>263</v>
      </c>
      <c r="I38" s="18"/>
      <c r="J38" s="18" t="s">
        <v>99</v>
      </c>
      <c r="K38" s="4" t="s">
        <v>332</v>
      </c>
      <c r="M38" s="6"/>
      <c r="N38" s="6"/>
    </row>
    <row r="39" spans="1:14" ht="24.75" customHeight="1" thickTop="1" thickBot="1" x14ac:dyDescent="0.35">
      <c r="A39" s="15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9" s="18" t="s">
        <v>49</v>
      </c>
      <c r="D39" s="18" t="b">
        <f>ISNUMBER(IndexTbl[[#This Row],[Class]])</f>
        <v>0</v>
      </c>
      <c r="E39" s="17" t="str">
        <f>TRIM(IndexTbl[[#This Row],[Prefix]]&amp;IF(NOT(IndexTbl[[#This Row],[Dewey Number]])," "&amp;IndexTbl[[#This Row],[Class]],""))</f>
        <v>TEEN LGE-TYPE</v>
      </c>
      <c r="F39" s="19" t="s">
        <v>212</v>
      </c>
      <c r="G39" s="19"/>
      <c r="H39" s="19" t="s">
        <v>274</v>
      </c>
      <c r="I39" s="18"/>
      <c r="J39" s="18" t="s">
        <v>211</v>
      </c>
      <c r="K39" s="4" t="s">
        <v>332</v>
      </c>
      <c r="M39" s="6"/>
      <c r="N39" s="6"/>
    </row>
    <row r="40" spans="1:14" ht="24.75" customHeight="1" thickTop="1" thickBot="1" x14ac:dyDescent="0.35">
      <c r="A40" s="22">
        <f>COUNTIF(IndexTbl[unique],IndexTbl[[#This Row],[unique]])</f>
        <v>1</v>
      </c>
      <c r="B40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40" s="16" t="s">
        <v>24</v>
      </c>
      <c r="D40" s="16" t="b">
        <f>ISNUMBER(IndexTbl[[#This Row],[Class]])</f>
        <v>0</v>
      </c>
      <c r="E40" s="17" t="str">
        <f>TRIM(IndexTbl[[#This Row],[Prefix]]&amp;IF(NOT(IndexTbl[[#This Row],[Dewey Number]])," "&amp;IndexTbl[[#This Row],[Class]],""))</f>
        <v>J</v>
      </c>
      <c r="F40" s="15" t="s">
        <v>87</v>
      </c>
      <c r="G40" s="15"/>
      <c r="H40" s="15" t="s">
        <v>257</v>
      </c>
      <c r="I40" s="16" t="s">
        <v>333</v>
      </c>
      <c r="J40" s="16" t="s">
        <v>86</v>
      </c>
      <c r="K40" s="4" t="s">
        <v>332</v>
      </c>
      <c r="M40" s="6"/>
      <c r="N40" s="6"/>
    </row>
    <row r="41" spans="1:14" ht="24.75" customHeight="1" thickTop="1" thickBot="1" x14ac:dyDescent="0.35">
      <c r="A41" s="22">
        <f>COUNTIF(IndexTbl[unique],IndexTbl[[#This Row],[unique]])</f>
        <v>1</v>
      </c>
      <c r="B41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1" s="16" t="s">
        <v>24</v>
      </c>
      <c r="D41" s="16" t="b">
        <f>ISNUMBER(IndexTbl[[#This Row],[Class]])</f>
        <v>0</v>
      </c>
      <c r="E41" s="17" t="str">
        <f>TRIM(IndexTbl[[#This Row],[Prefix]]&amp;IF(NOT(IndexTbl[[#This Row],[Dewey Number]])," "&amp;IndexTbl[[#This Row],[Class]],""))</f>
        <v>J SERIES</v>
      </c>
      <c r="F41" s="15" t="s">
        <v>52</v>
      </c>
      <c r="G41" s="15" t="s">
        <v>89</v>
      </c>
      <c r="H41" s="15" t="s">
        <v>294</v>
      </c>
      <c r="I41" s="16" t="s">
        <v>333</v>
      </c>
      <c r="J41" s="16" t="s">
        <v>88</v>
      </c>
      <c r="K41" s="4" t="s">
        <v>332</v>
      </c>
      <c r="M41" s="6"/>
      <c r="N41" s="6"/>
    </row>
    <row r="42" spans="1:14" ht="24.75" customHeight="1" thickTop="1" thickBot="1" x14ac:dyDescent="0.35">
      <c r="A42" s="15">
        <f>COUNTIF(IndexTbl[unique],IndexTbl[[#This Row],[unique]])</f>
        <v>1</v>
      </c>
      <c r="B42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2" s="16" t="s">
        <v>24</v>
      </c>
      <c r="D42" s="16" t="b">
        <f>ISNUMBER(IndexTbl[[#This Row],[Class]])</f>
        <v>0</v>
      </c>
      <c r="E42" s="17" t="str">
        <f>TRIM(IndexTbl[[#This Row],[Prefix]]&amp;IF(NOT(IndexTbl[[#This Row],[Dewey Number]])," "&amp;IndexTbl[[#This Row],[Class]],""))</f>
        <v>J</v>
      </c>
      <c r="F42" s="15" t="s">
        <v>87</v>
      </c>
      <c r="G42" s="15"/>
      <c r="H42" s="15" t="s">
        <v>257</v>
      </c>
      <c r="I42" s="16"/>
      <c r="J42" s="16" t="s">
        <v>86</v>
      </c>
      <c r="K42" s="4" t="s">
        <v>332</v>
      </c>
      <c r="M42" s="6"/>
      <c r="N42" s="6"/>
    </row>
    <row r="43" spans="1:14" ht="24.75" customHeight="1" thickTop="1" thickBot="1" x14ac:dyDescent="0.35">
      <c r="A43" s="15">
        <f>COUNTIF(IndexTbl[unique],IndexTbl[[#This Row],[unique]])</f>
        <v>1</v>
      </c>
      <c r="B4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3" s="16" t="s">
        <v>24</v>
      </c>
      <c r="D43" s="16" t="b">
        <f>ISNUMBER(IndexTbl[[#This Row],[Class]])</f>
        <v>0</v>
      </c>
      <c r="E43" s="17" t="str">
        <f>TRIM(IndexTbl[[#This Row],[Prefix]]&amp;IF(NOT(IndexTbl[[#This Row],[Dewey Number]])," "&amp;IndexTbl[[#This Row],[Class]],""))</f>
        <v>J SERIES</v>
      </c>
      <c r="F43" s="15" t="s">
        <v>52</v>
      </c>
      <c r="G43" s="15" t="s">
        <v>89</v>
      </c>
      <c r="H43" s="15" t="s">
        <v>294</v>
      </c>
      <c r="I43" s="16"/>
      <c r="J43" s="16" t="s">
        <v>88</v>
      </c>
      <c r="K43" s="4" t="s">
        <v>332</v>
      </c>
      <c r="M43" s="6"/>
      <c r="N43" s="6"/>
    </row>
    <row r="44" spans="1:14" ht="24.75" customHeight="1" thickTop="1" thickBot="1" x14ac:dyDescent="0.35">
      <c r="A44" s="15">
        <f>COUNTIF(IndexTbl[unique],IndexTbl[[#This Row],[unique]])</f>
        <v>1</v>
      </c>
      <c r="B44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4" s="16" t="s">
        <v>37</v>
      </c>
      <c r="D44" s="16" t="b">
        <f>ISNUMBER(IndexTbl[[#This Row],[Class]])</f>
        <v>0</v>
      </c>
      <c r="E44" s="17" t="str">
        <f>TRIM(IndexTbl[[#This Row],[Prefix]]&amp;IF(NOT(IndexTbl[[#This Row],[Dewey Number]])," "&amp;IndexTbl[[#This Row],[Class]],""))</f>
        <v>J CD FIC</v>
      </c>
      <c r="F44" s="15" t="s">
        <v>92</v>
      </c>
      <c r="G44" s="15" t="s">
        <v>61</v>
      </c>
      <c r="H44" s="15" t="s">
        <v>258</v>
      </c>
      <c r="I44" s="16"/>
      <c r="J44" s="16" t="s">
        <v>91</v>
      </c>
      <c r="K44" s="4" t="s">
        <v>332</v>
      </c>
      <c r="M44" s="6"/>
      <c r="N44" s="6"/>
    </row>
    <row r="45" spans="1:14" ht="24.75" customHeight="1" thickTop="1" thickBot="1" x14ac:dyDescent="0.35">
      <c r="A45" s="15">
        <f>COUNTIF(IndexTbl[unique],IndexTbl[[#This Row],[unique]])</f>
        <v>1</v>
      </c>
      <c r="B4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45" s="16" t="s">
        <v>37</v>
      </c>
      <c r="D45" s="16" t="b">
        <f>ISNUMBER(IndexTbl[[#This Row],[Class]])</f>
        <v>1</v>
      </c>
      <c r="E45" s="17" t="str">
        <f>TRIM(IndexTbl[[#This Row],[Prefix]]&amp;IF(NOT(IndexTbl[[#This Row],[Dewey Number]])," "&amp;IndexTbl[[#This Row],[Class]],""))</f>
        <v>J CD</v>
      </c>
      <c r="F45" s="15" t="s">
        <v>92</v>
      </c>
      <c r="G45" s="15">
        <v>999.99</v>
      </c>
      <c r="H45" s="15" t="s">
        <v>259</v>
      </c>
      <c r="I45" s="16"/>
      <c r="J45" s="16" t="s">
        <v>93</v>
      </c>
      <c r="K45" s="4" t="s">
        <v>332</v>
      </c>
      <c r="M45" s="6"/>
      <c r="N45" s="6"/>
    </row>
    <row r="46" spans="1:14" ht="24.75" customHeight="1" thickTop="1" thickBot="1" x14ac:dyDescent="0.35">
      <c r="A46" s="15">
        <f>COUNTIF(IndexTbl[unique],IndexTbl[[#This Row],[unique]])</f>
        <v>1</v>
      </c>
      <c r="B4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6" s="16" t="s">
        <v>37</v>
      </c>
      <c r="D46" s="16" t="b">
        <f>ISNUMBER(IndexTbl[[#This Row],[Class]])</f>
        <v>0</v>
      </c>
      <c r="E46" s="17" t="str">
        <f>TRIM(IndexTbl[[#This Row],[Prefix]]&amp;IF(NOT(IndexTbl[[#This Row],[Dewey Number]])," "&amp;IndexTbl[[#This Row],[Class]],""))</f>
        <v>J CD BIO</v>
      </c>
      <c r="F46" s="15" t="s">
        <v>92</v>
      </c>
      <c r="G46" s="15" t="s">
        <v>58</v>
      </c>
      <c r="H46" s="15" t="s">
        <v>260</v>
      </c>
      <c r="I46" s="16"/>
      <c r="J46" s="16" t="s">
        <v>94</v>
      </c>
      <c r="K46" s="4" t="s">
        <v>332</v>
      </c>
      <c r="M46" s="6"/>
      <c r="N46" s="6"/>
    </row>
    <row r="47" spans="1:14" ht="24.75" customHeight="1" thickTop="1" thickBot="1" x14ac:dyDescent="0.35">
      <c r="A47" s="15">
        <f>COUNTIF(IndexTbl[unique],IndexTbl[[#This Row],[unique]])</f>
        <v>1</v>
      </c>
      <c r="B47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7" s="18" t="s">
        <v>25</v>
      </c>
      <c r="D47" s="18" t="b">
        <f>ISNUMBER(IndexTbl[[#This Row],[Class]])</f>
        <v>0</v>
      </c>
      <c r="E47" s="17" t="str">
        <f>TRIM(IndexTbl[[#This Row],[Prefix]]&amp;IF(NOT(IndexTbl[[#This Row],[Dewey Number]])," "&amp;IndexTbl[[#This Row],[Class]],""))</f>
        <v>J DVD</v>
      </c>
      <c r="F47" s="19" t="s">
        <v>96</v>
      </c>
      <c r="G47" s="19"/>
      <c r="H47" s="19" t="s">
        <v>261</v>
      </c>
      <c r="I47" s="18"/>
      <c r="J47" s="18" t="s">
        <v>95</v>
      </c>
      <c r="K47" s="4" t="s">
        <v>332</v>
      </c>
      <c r="M47" s="6"/>
      <c r="N47" s="6"/>
    </row>
    <row r="48" spans="1:14" ht="24.75" customHeight="1" thickTop="1" thickBot="1" x14ac:dyDescent="0.35">
      <c r="A48" s="15">
        <f>COUNTIF(IndexTbl[unique],IndexTbl[[#This Row],[unique]])</f>
        <v>1</v>
      </c>
      <c r="B4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8" s="18" t="s">
        <v>26</v>
      </c>
      <c r="D48" s="18" t="b">
        <f>ISNUMBER(IndexTbl[[#This Row],[Class]])</f>
        <v>0</v>
      </c>
      <c r="E48" s="17" t="str">
        <f>TRIM(IndexTbl[[#This Row],[Prefix]]&amp;IF(NOT(IndexTbl[[#This Row],[Dewey Number]])," "&amp;IndexTbl[[#This Row],[Class]],""))</f>
        <v>J CD OH</v>
      </c>
      <c r="F48" s="19" t="s">
        <v>92</v>
      </c>
      <c r="G48" s="19" t="s">
        <v>129</v>
      </c>
      <c r="H48" s="19" t="s">
        <v>266</v>
      </c>
      <c r="I48" s="18"/>
      <c r="J48" s="18" t="s">
        <v>128</v>
      </c>
      <c r="K48" s="4" t="s">
        <v>332</v>
      </c>
      <c r="M48" s="6"/>
      <c r="N48" s="6"/>
    </row>
    <row r="49" spans="1:14" ht="24.75" customHeight="1" thickTop="1" thickBot="1" x14ac:dyDescent="0.35">
      <c r="A49" s="15">
        <f>COUNTIF(IndexTbl[unique],IndexTbl[[#This Row],[unique]])</f>
        <v>1</v>
      </c>
      <c r="B49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9" s="18" t="s">
        <v>26</v>
      </c>
      <c r="D49" s="18" t="b">
        <f>ISNUMBER(IndexTbl[[#This Row],[Class]])</f>
        <v>0</v>
      </c>
      <c r="E49" s="17" t="str">
        <f>TRIM(IndexTbl[[#This Row],[Prefix]]&amp;IF(NOT(IndexTbl[[#This Row],[Dewey Number]])," "&amp;IndexTbl[[#This Row],[Class]],""))</f>
        <v>J CD OM</v>
      </c>
      <c r="F49" s="19" t="s">
        <v>92</v>
      </c>
      <c r="G49" s="19" t="s">
        <v>130</v>
      </c>
      <c r="H49" s="19" t="s">
        <v>266</v>
      </c>
      <c r="I49" s="18"/>
      <c r="J49" s="18" t="s">
        <v>128</v>
      </c>
      <c r="K49" s="4" t="s">
        <v>332</v>
      </c>
      <c r="M49" s="6"/>
      <c r="N49" s="6"/>
    </row>
    <row r="50" spans="1:14" ht="24.75" customHeight="1" thickTop="1" thickBot="1" x14ac:dyDescent="0.35">
      <c r="A50" s="22">
        <f>COUNTIF(IndexTbl[unique],IndexTbl[[#This Row],[unique]])</f>
        <v>1</v>
      </c>
      <c r="B50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CountdownFALSEE{},{DEPAOLA},{}New Books</v>
      </c>
      <c r="C50" s="16" t="s">
        <v>27</v>
      </c>
      <c r="D50" s="16" t="b">
        <f>ISNUMBER(IndexTbl[[#This Row],[Class]])</f>
        <v>0</v>
      </c>
      <c r="E50" s="17" t="str">
        <f>TRIM(IndexTbl[[#This Row],[Prefix]]&amp;IF(NOT(IndexTbl[[#This Row],[Dewey Number]])," "&amp;IndexTbl[[#This Row],[Class]],""))</f>
        <v>E</v>
      </c>
      <c r="F50" s="15" t="s">
        <v>53</v>
      </c>
      <c r="G50" s="15"/>
      <c r="H50" s="15" t="s">
        <v>249</v>
      </c>
      <c r="I50" s="16" t="s">
        <v>333</v>
      </c>
      <c r="J50" s="16" t="s">
        <v>286</v>
      </c>
      <c r="K50" s="4" t="s">
        <v>332</v>
      </c>
      <c r="M50" s="6"/>
      <c r="N50" s="6"/>
    </row>
    <row r="51" spans="1:14" ht="24.75" customHeight="1" thickTop="1" thickBot="1" x14ac:dyDescent="0.35">
      <c r="A51" s="15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1" s="16" t="s">
        <v>27</v>
      </c>
      <c r="D51" s="16" t="b">
        <f>ISNUMBER(IndexTbl[[#This Row],[Class]])</f>
        <v>0</v>
      </c>
      <c r="E51" s="17" t="str">
        <f>TRIM(IndexTbl[[#This Row],[Prefix]]&amp;IF(NOT(IndexTbl[[#This Row],[Dewey Number]])," "&amp;IndexTbl[[#This Row],[Class]],""))</f>
        <v>E</v>
      </c>
      <c r="F51" s="15" t="s">
        <v>53</v>
      </c>
      <c r="G51" s="15"/>
      <c r="H51" s="15" t="s">
        <v>249</v>
      </c>
      <c r="I51" s="16"/>
      <c r="J51" s="16" t="s">
        <v>286</v>
      </c>
      <c r="K51" s="4" t="s">
        <v>332</v>
      </c>
      <c r="M51" s="6"/>
      <c r="N51" s="6"/>
    </row>
    <row r="52" spans="1:14" ht="24.75" customHeight="1" thickTop="1" thickBot="1" x14ac:dyDescent="0.35">
      <c r="A52" s="22">
        <f>COUNTIF(IndexTbl[unique],IndexTbl[[#This Row],[unique]])</f>
        <v>1</v>
      </c>
      <c r="B52" s="23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52" s="16" t="s">
        <v>0</v>
      </c>
      <c r="D52" s="16" t="b">
        <f>ISNUMBER(IndexTbl[[#This Row],[Class]])</f>
        <v>0</v>
      </c>
      <c r="E52" s="17" t="str">
        <f>TRIM(IndexTbl[[#This Row],[Prefix]]&amp;IF(NOT(IndexTbl[[#This Row],[Dewey Number]])," "&amp;IndexTbl[[#This Row],[Class]],""))</f>
        <v>E</v>
      </c>
      <c r="F52" s="15" t="s">
        <v>53</v>
      </c>
      <c r="G52" s="15"/>
      <c r="H52" s="15" t="s">
        <v>249</v>
      </c>
      <c r="I52" s="16" t="s">
        <v>333</v>
      </c>
      <c r="J52" s="16" t="s">
        <v>295</v>
      </c>
      <c r="K52" s="4" t="s">
        <v>332</v>
      </c>
      <c r="M52" s="6"/>
      <c r="N52" s="6"/>
    </row>
    <row r="53" spans="1:14" ht="24.75" customHeight="1" thickTop="1" thickBot="1" x14ac:dyDescent="0.35">
      <c r="A53" s="15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3" s="16" t="s">
        <v>0</v>
      </c>
      <c r="D53" s="16" t="b">
        <f>ISNUMBER(IndexTbl[[#This Row],[Class]])</f>
        <v>0</v>
      </c>
      <c r="E53" s="17" t="str">
        <f>TRIM(IndexTbl[[#This Row],[Prefix]]&amp;IF(NOT(IndexTbl[[#This Row],[Dewey Number]])," "&amp;IndexTbl[[#This Row],[Class]],""))</f>
        <v>E</v>
      </c>
      <c r="F53" s="15" t="s">
        <v>53</v>
      </c>
      <c r="G53" s="15"/>
      <c r="H53" s="15" t="s">
        <v>249</v>
      </c>
      <c r="I53" s="16"/>
      <c r="J53" s="16" t="s">
        <v>295</v>
      </c>
      <c r="K53" s="4" t="s">
        <v>332</v>
      </c>
      <c r="M53" s="6"/>
      <c r="N53" s="6"/>
    </row>
    <row r="54" spans="1:14" ht="24.75" customHeight="1" thickTop="1" thickBot="1" x14ac:dyDescent="0.35">
      <c r="A54" s="22">
        <f>COUNTIF(IndexTbl[unique],IndexTbl[[#This Row],[unique]])</f>
        <v>1</v>
      </c>
      <c r="B54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4" s="16" t="s">
        <v>28</v>
      </c>
      <c r="D54" s="16" t="b">
        <f>ISNUMBER(IndexTbl[[#This Row],[Class]])</f>
        <v>0</v>
      </c>
      <c r="E54" s="17" t="str">
        <f>TRIM(IndexTbl[[#This Row],[Prefix]]&amp;IF(NOT(IndexTbl[[#This Row],[Dewey Number]])," "&amp;IndexTbl[[#This Row],[Class]],""))</f>
        <v>E</v>
      </c>
      <c r="F54" s="15" t="s">
        <v>53</v>
      </c>
      <c r="G54" s="15"/>
      <c r="H54" s="15" t="s">
        <v>249</v>
      </c>
      <c r="I54" s="16" t="s">
        <v>333</v>
      </c>
      <c r="J54" s="16" t="s">
        <v>248</v>
      </c>
      <c r="K54" s="4" t="s">
        <v>332</v>
      </c>
      <c r="M54" s="6"/>
      <c r="N54" s="6"/>
    </row>
    <row r="55" spans="1:14" ht="24.75" customHeight="1" thickTop="1" thickBot="1" x14ac:dyDescent="0.35">
      <c r="A55" s="15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5" s="16" t="s">
        <v>28</v>
      </c>
      <c r="D55" s="16" t="b">
        <f>ISNUMBER(IndexTbl[[#This Row],[Class]])</f>
        <v>0</v>
      </c>
      <c r="E55" s="17" t="str">
        <f>TRIM(IndexTbl[[#This Row],[Prefix]]&amp;IF(NOT(IndexTbl[[#This Row],[Dewey Number]])," "&amp;IndexTbl[[#This Row],[Class]],""))</f>
        <v>E</v>
      </c>
      <c r="F55" s="15" t="s">
        <v>53</v>
      </c>
      <c r="G55" s="15"/>
      <c r="H55" s="15" t="s">
        <v>249</v>
      </c>
      <c r="I55" s="16"/>
      <c r="J55" s="16" t="s">
        <v>248</v>
      </c>
      <c r="K55" s="4" t="s">
        <v>332</v>
      </c>
      <c r="M55" s="6"/>
      <c r="N55" s="6"/>
    </row>
    <row r="56" spans="1:14" ht="24.75" customHeight="1" thickTop="1" thickBot="1" x14ac:dyDescent="0.35">
      <c r="A56" s="15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6" s="16" t="s">
        <v>28</v>
      </c>
      <c r="D56" s="16" t="b">
        <f>ISNUMBER(IndexTbl[[#This Row],[Class]])</f>
        <v>0</v>
      </c>
      <c r="E56" s="17" t="str">
        <f>TRIM(IndexTbl[[#This Row],[Prefix]]&amp;IF(NOT(IndexTbl[[#This Row],[Dewey Number]])," "&amp;IndexTbl[[#This Row],[Class]],""))</f>
        <v>E BOARD</v>
      </c>
      <c r="F56" s="15" t="s">
        <v>53</v>
      </c>
      <c r="G56" s="15" t="s">
        <v>55</v>
      </c>
      <c r="H56" s="15" t="s">
        <v>250</v>
      </c>
      <c r="I56" s="16"/>
      <c r="J56" s="16" t="s">
        <v>54</v>
      </c>
      <c r="K56" s="4" t="s">
        <v>332</v>
      </c>
      <c r="M56" s="6"/>
      <c r="N56" s="6"/>
    </row>
    <row r="57" spans="1:14" ht="24.75" customHeight="1" thickTop="1" thickBot="1" x14ac:dyDescent="0.35">
      <c r="A57" s="22">
        <f>COUNTIF(IndexTbl[unique],IndexTbl[[#This Row],[unique]])</f>
        <v>1</v>
      </c>
      <c r="B57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TITLE}New Books</v>
      </c>
      <c r="C57" s="16" t="s">
        <v>27</v>
      </c>
      <c r="D57" s="16" t="b">
        <f>ISNUMBER(IndexTbl[[#This Row],[Class]])</f>
        <v>1</v>
      </c>
      <c r="E57" s="17" t="str">
        <f>TRIM(IndexTbl[[#This Row],[Prefix]]&amp;IF(NOT(IndexTbl[[#This Row],[Dewey Number]])," "&amp;IndexTbl[[#This Row],[Class]],""))</f>
        <v>E</v>
      </c>
      <c r="F57" s="15" t="s">
        <v>53</v>
      </c>
      <c r="G57" s="15">
        <v>999.99</v>
      </c>
      <c r="H57" s="15" t="s">
        <v>288</v>
      </c>
      <c r="I57" s="16" t="s">
        <v>333</v>
      </c>
      <c r="J57" s="16" t="s">
        <v>287</v>
      </c>
      <c r="K57" s="4" t="s">
        <v>332</v>
      </c>
      <c r="M57" s="6"/>
      <c r="N57" s="6"/>
    </row>
    <row r="58" spans="1:14" ht="24.75" customHeight="1" thickTop="1" thickBot="1" x14ac:dyDescent="0.35">
      <c r="A58" s="15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58" s="16" t="s">
        <v>27</v>
      </c>
      <c r="D58" s="16" t="b">
        <f>ISNUMBER(IndexTbl[[#This Row],[Class]])</f>
        <v>1</v>
      </c>
      <c r="E58" s="17" t="str">
        <f>TRIM(IndexTbl[[#This Row],[Prefix]]&amp;IF(NOT(IndexTbl[[#This Row],[Dewey Number]])," "&amp;IndexTbl[[#This Row],[Class]],""))</f>
        <v>E</v>
      </c>
      <c r="F58" s="15" t="s">
        <v>53</v>
      </c>
      <c r="G58" s="15">
        <v>999.99</v>
      </c>
      <c r="H58" s="15" t="s">
        <v>288</v>
      </c>
      <c r="I58" s="16"/>
      <c r="J58" s="16" t="s">
        <v>287</v>
      </c>
      <c r="K58" s="4" t="s">
        <v>332</v>
      </c>
      <c r="M58" s="6"/>
      <c r="N58" s="6"/>
    </row>
    <row r="59" spans="1:14" ht="24.75" customHeight="1" thickTop="1" thickBot="1" x14ac:dyDescent="0.35">
      <c r="A59" s="22">
        <f>COUNTIF(IndexTbl[unique],IndexTbl[[#This Row],[unique]])</f>
        <v>1</v>
      </c>
      <c r="B59" s="23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59" s="16" t="s">
        <v>0</v>
      </c>
      <c r="D59" s="16" t="b">
        <f>ISNUMBER(IndexTbl[[#This Row],[Class]])</f>
        <v>1</v>
      </c>
      <c r="E59" s="17" t="str">
        <f>TRIM(IndexTbl[[#This Row],[Prefix]]&amp;IF(NOT(IndexTbl[[#This Row],[Dewey Number]])," "&amp;IndexTbl[[#This Row],[Class]],""))</f>
        <v>E</v>
      </c>
      <c r="F59" s="15" t="s">
        <v>53</v>
      </c>
      <c r="G59" s="15">
        <v>999.99</v>
      </c>
      <c r="H59" s="15"/>
      <c r="I59" s="16" t="s">
        <v>333</v>
      </c>
      <c r="J59" s="16" t="s">
        <v>296</v>
      </c>
      <c r="K59" s="4" t="s">
        <v>332</v>
      </c>
      <c r="M59" s="6"/>
      <c r="N59" s="6"/>
    </row>
    <row r="60" spans="1:14" ht="24.75" customHeight="1" thickTop="1" thickBot="1" x14ac:dyDescent="0.35">
      <c r="A60" s="15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60" s="16" t="s">
        <v>0</v>
      </c>
      <c r="D60" s="16" t="b">
        <f>ISNUMBER(IndexTbl[[#This Row],[Class]])</f>
        <v>1</v>
      </c>
      <c r="E60" s="17" t="str">
        <f>TRIM(IndexTbl[[#This Row],[Prefix]]&amp;IF(NOT(IndexTbl[[#This Row],[Dewey Number]])," "&amp;IndexTbl[[#This Row],[Class]],""))</f>
        <v>E</v>
      </c>
      <c r="F60" s="15" t="s">
        <v>53</v>
      </c>
      <c r="G60" s="15">
        <v>999.99</v>
      </c>
      <c r="H60" s="15"/>
      <c r="I60" s="16"/>
      <c r="J60" s="16" t="s">
        <v>296</v>
      </c>
      <c r="K60" s="4" t="s">
        <v>332</v>
      </c>
      <c r="M60" s="6"/>
      <c r="N60" s="6"/>
    </row>
    <row r="61" spans="1:14" ht="24.75" customHeight="1" thickTop="1" thickBot="1" x14ac:dyDescent="0.35">
      <c r="A61" s="22">
        <f>COUNTIF(IndexTbl[unique],IndexTbl[[#This Row],[unique]])</f>
        <v>1</v>
      </c>
      <c r="B61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61" s="16" t="s">
        <v>41</v>
      </c>
      <c r="D61" s="16" t="b">
        <f>ISNUMBER(IndexTbl[[#This Row],[Class]])</f>
        <v>1</v>
      </c>
      <c r="E61" s="17" t="str">
        <f>TRIM(IndexTbl[[#This Row],[Prefix]]&amp;IF(NOT(IndexTbl[[#This Row],[Dewey Number]])," "&amp;IndexTbl[[#This Row],[Class]],""))</f>
        <v>E</v>
      </c>
      <c r="F61" s="15" t="s">
        <v>53</v>
      </c>
      <c r="G61" s="15">
        <v>999.99</v>
      </c>
      <c r="H61" s="15" t="s">
        <v>251</v>
      </c>
      <c r="I61" s="16" t="s">
        <v>333</v>
      </c>
      <c r="J61" s="16" t="s">
        <v>41</v>
      </c>
      <c r="K61" s="4" t="s">
        <v>332</v>
      </c>
      <c r="M61" s="6"/>
      <c r="N61" s="6"/>
    </row>
    <row r="62" spans="1:14" ht="24.75" customHeight="1" thickTop="1" thickBot="1" x14ac:dyDescent="0.35">
      <c r="A62" s="15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62" s="16" t="s">
        <v>41</v>
      </c>
      <c r="D62" s="16" t="b">
        <f>ISNUMBER(IndexTbl[[#This Row],[Class]])</f>
        <v>1</v>
      </c>
      <c r="E62" s="17" t="str">
        <f>TRIM(IndexTbl[[#This Row],[Prefix]]&amp;IF(NOT(IndexTbl[[#This Row],[Dewey Number]])," "&amp;IndexTbl[[#This Row],[Class]],""))</f>
        <v>E</v>
      </c>
      <c r="F62" s="15" t="s">
        <v>53</v>
      </c>
      <c r="G62" s="15">
        <v>999.99</v>
      </c>
      <c r="H62" s="15" t="s">
        <v>251</v>
      </c>
      <c r="I62" s="16"/>
      <c r="J62" s="16" t="s">
        <v>41</v>
      </c>
      <c r="K62" s="4" t="s">
        <v>332</v>
      </c>
      <c r="M62" s="6"/>
      <c r="N62" s="6"/>
    </row>
    <row r="63" spans="1:14" ht="24.75" customHeight="1" thickTop="1" thickBot="1" x14ac:dyDescent="0.35">
      <c r="A63" s="15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63" s="16" t="s">
        <v>41</v>
      </c>
      <c r="D63" s="16" t="b">
        <f>ISNUMBER(IndexTbl[[#This Row],[Class]])</f>
        <v>0</v>
      </c>
      <c r="E63" s="17" t="str">
        <f>TRIM(IndexTbl[[#This Row],[Prefix]]&amp;IF(NOT(IndexTbl[[#This Row],[Dewey Number]])," "&amp;IndexTbl[[#This Row],[Class]],""))</f>
        <v>E BIO</v>
      </c>
      <c r="F63" s="15" t="s">
        <v>57</v>
      </c>
      <c r="G63" s="15" t="s">
        <v>58</v>
      </c>
      <c r="H63" s="15" t="s">
        <v>252</v>
      </c>
      <c r="I63" s="16"/>
      <c r="J63" s="16" t="s">
        <v>56</v>
      </c>
      <c r="K63" s="4" t="s">
        <v>332</v>
      </c>
      <c r="M63" s="6"/>
      <c r="N63" s="6"/>
    </row>
    <row r="64" spans="1:14" ht="24.75" customHeight="1" thickTop="1" thickBot="1" x14ac:dyDescent="0.35">
      <c r="A64" s="15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4" s="16" t="s">
        <v>29</v>
      </c>
      <c r="D64" s="16" t="b">
        <f>ISNUMBER(IndexTbl[[#This Row],[Class]])</f>
        <v>0</v>
      </c>
      <c r="E64" s="17" t="str">
        <f>TRIM(IndexTbl[[#This Row],[Prefix]]&amp;IF(NOT(IndexTbl[[#This Row],[Dewey Number]])," "&amp;IndexTbl[[#This Row],[Class]],""))</f>
        <v>E CD FIC</v>
      </c>
      <c r="F64" s="15" t="s">
        <v>60</v>
      </c>
      <c r="G64" s="15" t="s">
        <v>61</v>
      </c>
      <c r="H64" s="15" t="s">
        <v>253</v>
      </c>
      <c r="I64" s="16"/>
      <c r="J64" s="16" t="s">
        <v>59</v>
      </c>
      <c r="K64" s="4" t="s">
        <v>332</v>
      </c>
      <c r="M64" s="6"/>
      <c r="N64" s="6"/>
    </row>
    <row r="65" spans="1:14" ht="24.75" customHeight="1" thickTop="1" thickBot="1" x14ac:dyDescent="0.35">
      <c r="A65" s="15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5" s="16" t="s">
        <v>29</v>
      </c>
      <c r="D65" s="16" t="b">
        <f>ISNUMBER(IndexTbl[[#This Row],[Class]])</f>
        <v>1</v>
      </c>
      <c r="E65" s="17" t="str">
        <f>TRIM(IndexTbl[[#This Row],[Prefix]]&amp;IF(NOT(IndexTbl[[#This Row],[Dewey Number]])," "&amp;IndexTbl[[#This Row],[Class]],""))</f>
        <v>E CD</v>
      </c>
      <c r="F65" s="15" t="s">
        <v>60</v>
      </c>
      <c r="G65" s="15">
        <v>999.99</v>
      </c>
      <c r="H65" s="15" t="s">
        <v>254</v>
      </c>
      <c r="I65" s="16"/>
      <c r="J65" s="16" t="s">
        <v>62</v>
      </c>
      <c r="K65" s="4" t="s">
        <v>332</v>
      </c>
      <c r="M65" s="6"/>
      <c r="N65" s="6"/>
    </row>
    <row r="66" spans="1:14" ht="24.75" customHeight="1" thickTop="1" thickBot="1" x14ac:dyDescent="0.35">
      <c r="A66" s="15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6" s="16" t="s">
        <v>29</v>
      </c>
      <c r="D66" s="16" t="b">
        <f>ISNUMBER(IndexTbl[[#This Row],[Class]])</f>
        <v>0</v>
      </c>
      <c r="E66" s="17" t="str">
        <f>TRIM(IndexTbl[[#This Row],[Prefix]]&amp;IF(NOT(IndexTbl[[#This Row],[Dewey Number]])," "&amp;IndexTbl[[#This Row],[Class]],""))</f>
        <v>E CD BIO</v>
      </c>
      <c r="F66" s="15" t="s">
        <v>60</v>
      </c>
      <c r="G66" s="15" t="s">
        <v>58</v>
      </c>
      <c r="H66" s="15" t="s">
        <v>255</v>
      </c>
      <c r="I66" s="16"/>
      <c r="J66" s="16" t="s">
        <v>63</v>
      </c>
      <c r="K66" s="4" t="s">
        <v>332</v>
      </c>
      <c r="M66" s="6"/>
      <c r="N66" s="6"/>
    </row>
    <row r="67" spans="1:14" ht="24.75" customHeight="1" thickTop="1" thickBot="1" x14ac:dyDescent="0.35">
      <c r="A67" s="15">
        <f>COUNTIF(IndexTbl[unique],IndexTbl[[#This Row],[unique]])</f>
        <v>1</v>
      </c>
      <c r="B6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7" s="18" t="s">
        <v>30</v>
      </c>
      <c r="D67" s="18" t="b">
        <f>ISNUMBER(IndexTbl[[#This Row],[Class]])</f>
        <v>0</v>
      </c>
      <c r="E67" s="17" t="str">
        <f>TRIM(IndexTbl[[#This Row],[Prefix]]&amp;IF(NOT(IndexTbl[[#This Row],[Dewey Number]])," "&amp;IndexTbl[[#This Row],[Class]],""))</f>
        <v>E INTL-CHI</v>
      </c>
      <c r="F67" s="19" t="s">
        <v>69</v>
      </c>
      <c r="G67" s="19"/>
      <c r="H67" s="19" t="s">
        <v>256</v>
      </c>
      <c r="I67" s="18"/>
      <c r="J67" s="18" t="s">
        <v>68</v>
      </c>
      <c r="K67" s="4" t="s">
        <v>332</v>
      </c>
      <c r="M67" s="6"/>
      <c r="N67" s="6"/>
    </row>
    <row r="68" spans="1:14" ht="24.75" customHeight="1" thickTop="1" thickBot="1" x14ac:dyDescent="0.35">
      <c r="A68" s="15">
        <f>COUNTIF(IndexTbl[unique],IndexTbl[[#This Row],[unique]])</f>
        <v>1</v>
      </c>
      <c r="B6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8" s="18" t="s">
        <v>30</v>
      </c>
      <c r="D68" s="18" t="b">
        <f>ISNUMBER(IndexTbl[[#This Row],[Class]])</f>
        <v>1</v>
      </c>
      <c r="E68" s="17" t="str">
        <f>TRIM(IndexTbl[[#This Row],[Prefix]]&amp;IF(NOT(IndexTbl[[#This Row],[Dewey Number]])," "&amp;IndexTbl[[#This Row],[Class]],""))</f>
        <v>E INTL-CHI</v>
      </c>
      <c r="F68" s="19" t="s">
        <v>79</v>
      </c>
      <c r="G68" s="19">
        <v>999.99</v>
      </c>
      <c r="H68" s="19" t="s">
        <v>251</v>
      </c>
      <c r="I68" s="18"/>
      <c r="J68" s="18" t="s">
        <v>78</v>
      </c>
      <c r="K68" s="4" t="s">
        <v>332</v>
      </c>
      <c r="M68" s="6"/>
      <c r="N68" s="6"/>
    </row>
    <row r="69" spans="1:14" ht="24.75" customHeight="1" thickTop="1" thickBot="1" x14ac:dyDescent="0.35">
      <c r="A69" s="15">
        <f>COUNTIF(IndexTbl[unique],IndexTbl[[#This Row],[unique]])</f>
        <v>1</v>
      </c>
      <c r="B6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9" s="18" t="s">
        <v>30</v>
      </c>
      <c r="D69" s="18" t="b">
        <f>ISNUMBER(IndexTbl[[#This Row],[Class]])</f>
        <v>0</v>
      </c>
      <c r="E69" s="17" t="str">
        <f>TRIM(IndexTbl[[#This Row],[Prefix]]&amp;IF(NOT(IndexTbl[[#This Row],[Dewey Number]])," "&amp;IndexTbl[[#This Row],[Class]],""))</f>
        <v>J INTL-CHI</v>
      </c>
      <c r="F69" s="19" t="s">
        <v>109</v>
      </c>
      <c r="G69" s="19"/>
      <c r="H69" s="19" t="s">
        <v>257</v>
      </c>
      <c r="I69" s="18"/>
      <c r="J69" s="18" t="s">
        <v>108</v>
      </c>
      <c r="K69" s="4" t="s">
        <v>332</v>
      </c>
      <c r="M69" s="6"/>
      <c r="N69" s="6"/>
    </row>
    <row r="70" spans="1:14" ht="24.75" customHeight="1" thickTop="1" thickBot="1" x14ac:dyDescent="0.35">
      <c r="A70" s="15">
        <f>COUNTIF(IndexTbl[unique],IndexTbl[[#This Row],[unique]])</f>
        <v>1</v>
      </c>
      <c r="B7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70" s="18" t="s">
        <v>30</v>
      </c>
      <c r="D70" s="18" t="b">
        <f>ISNUMBER(IndexTbl[[#This Row],[Class]])</f>
        <v>1</v>
      </c>
      <c r="E70" s="17" t="str">
        <f>TRIM(IndexTbl[[#This Row],[Prefix]]&amp;IF(NOT(IndexTbl[[#This Row],[Dewey Number]])," "&amp;IndexTbl[[#This Row],[Class]],""))</f>
        <v>J INTL-CHI</v>
      </c>
      <c r="F70" s="19" t="s">
        <v>109</v>
      </c>
      <c r="G70" s="19">
        <v>999.99</v>
      </c>
      <c r="H70" s="19" t="s">
        <v>251</v>
      </c>
      <c r="I70" s="18"/>
      <c r="J70" s="18" t="s">
        <v>118</v>
      </c>
      <c r="K70" s="4" t="s">
        <v>332</v>
      </c>
      <c r="M70" s="6"/>
      <c r="N70" s="6"/>
    </row>
    <row r="71" spans="1:14" ht="24.75" customHeight="1" thickTop="1" thickBot="1" x14ac:dyDescent="0.35">
      <c r="A71" s="15">
        <f>COUNTIF(IndexTbl[unique],IndexTbl[[#This Row],[unique]])</f>
        <v>1</v>
      </c>
      <c r="B7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71" s="18" t="s">
        <v>30</v>
      </c>
      <c r="D71" s="18" t="b">
        <f>ISNUMBER(IndexTbl[[#This Row],[Class]])</f>
        <v>0</v>
      </c>
      <c r="E71" s="17" t="str">
        <f>TRIM(IndexTbl[[#This Row],[Prefix]]&amp;IF(NOT(IndexTbl[[#This Row],[Dewey Number]])," "&amp;IndexTbl[[#This Row],[Class]],""))</f>
        <v>J INTL-CHI BIO</v>
      </c>
      <c r="F71" s="19" t="s">
        <v>109</v>
      </c>
      <c r="G71" s="19" t="s">
        <v>58</v>
      </c>
      <c r="H71" s="19" t="s">
        <v>265</v>
      </c>
      <c r="I71" s="18"/>
      <c r="J71" s="18" t="s">
        <v>124</v>
      </c>
      <c r="K71" s="4" t="s">
        <v>332</v>
      </c>
      <c r="M71" s="6"/>
      <c r="N71" s="6"/>
    </row>
    <row r="72" spans="1:14" ht="24.75" customHeight="1" thickTop="1" thickBot="1" x14ac:dyDescent="0.35">
      <c r="A72" s="15">
        <f>COUNTIF(IndexTbl[unique],IndexTbl[[#This Row],[unique]])</f>
        <v>1</v>
      </c>
      <c r="B7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72" s="18" t="s">
        <v>30</v>
      </c>
      <c r="D72" s="18" t="b">
        <f>ISNUMBER(IndexTbl[[#This Row],[Class]])</f>
        <v>0</v>
      </c>
      <c r="E72" s="17" t="str">
        <f>TRIM(IndexTbl[[#This Row],[Prefix]]&amp;IF(NOT(IndexTbl[[#This Row],[Dewey Number]])," "&amp;IndexTbl[[#This Row],[Class]],""))</f>
        <v>INTL-CHI FIC</v>
      </c>
      <c r="F72" s="19" t="s">
        <v>186</v>
      </c>
      <c r="G72" s="19" t="s">
        <v>182</v>
      </c>
      <c r="H72" s="19" t="s">
        <v>267</v>
      </c>
      <c r="I72" s="18"/>
      <c r="J72" s="18" t="s">
        <v>185</v>
      </c>
      <c r="K72" s="4" t="s">
        <v>332</v>
      </c>
      <c r="M72" s="6"/>
      <c r="N72" s="6"/>
    </row>
    <row r="73" spans="1:14" ht="24.75" customHeight="1" thickTop="1" thickBot="1" x14ac:dyDescent="0.35">
      <c r="A73" s="15">
        <f>COUNTIF(IndexTbl[unique],IndexTbl[[#This Row],[unique]])</f>
        <v>1</v>
      </c>
      <c r="B7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73" s="18" t="s">
        <v>30</v>
      </c>
      <c r="D73" s="18" t="b">
        <f>ISNUMBER(IndexTbl[[#This Row],[Class]])</f>
        <v>1</v>
      </c>
      <c r="E73" s="17" t="str">
        <f>TRIM(IndexTbl[[#This Row],[Prefix]]&amp;IF(NOT(IndexTbl[[#This Row],[Dewey Number]])," "&amp;IndexTbl[[#This Row],[Class]],""))</f>
        <v>INTL-CHI</v>
      </c>
      <c r="F73" s="19" t="s">
        <v>186</v>
      </c>
      <c r="G73" s="19">
        <v>999.99</v>
      </c>
      <c r="H73" s="19" t="s">
        <v>268</v>
      </c>
      <c r="I73" s="18"/>
      <c r="J73" s="18" t="s">
        <v>195</v>
      </c>
      <c r="K73" s="4" t="s">
        <v>332</v>
      </c>
      <c r="M73" s="6"/>
      <c r="N73" s="6"/>
    </row>
    <row r="74" spans="1:14" ht="24.75" customHeight="1" thickTop="1" thickBot="1" x14ac:dyDescent="0.35">
      <c r="A74" s="15">
        <f>COUNTIF(IndexTbl[unique],IndexTbl[[#This Row],[unique]])</f>
        <v>1</v>
      </c>
      <c r="B7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74" s="18" t="s">
        <v>30</v>
      </c>
      <c r="D74" s="18" t="b">
        <f>ISNUMBER(IndexTbl[[#This Row],[Class]])</f>
        <v>0</v>
      </c>
      <c r="E74" s="17" t="str">
        <f>TRIM(IndexTbl[[#This Row],[Prefix]]&amp;IF(NOT(IndexTbl[[#This Row],[Dewey Number]])," "&amp;IndexTbl[[#This Row],[Class]],""))</f>
        <v>INTL-CHI BIO</v>
      </c>
      <c r="F74" s="19" t="s">
        <v>186</v>
      </c>
      <c r="G74" s="19" t="s">
        <v>58</v>
      </c>
      <c r="H74" s="19" t="s">
        <v>265</v>
      </c>
      <c r="I74" s="18"/>
      <c r="J74" s="18" t="s">
        <v>201</v>
      </c>
      <c r="K74" s="4" t="s">
        <v>332</v>
      </c>
      <c r="M74" s="6"/>
      <c r="N74" s="6"/>
    </row>
    <row r="75" spans="1:14" ht="24.75" customHeight="1" thickTop="1" thickBot="1" x14ac:dyDescent="0.35">
      <c r="A75" s="15">
        <f>COUNTIF(IndexTbl[unique],IndexTbl[[#This Row],[unique]])</f>
        <v>1</v>
      </c>
      <c r="B7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5" s="18" t="s">
        <v>30</v>
      </c>
      <c r="D75" s="18" t="b">
        <f>ISNUMBER(IndexTbl[[#This Row],[Class]])</f>
        <v>0</v>
      </c>
      <c r="E75" s="17" t="str">
        <f>TRIM(IndexTbl[[#This Row],[Prefix]]&amp;IF(NOT(IndexTbl[[#This Row],[Dewey Number]])," "&amp;IndexTbl[[#This Row],[Class]],""))</f>
        <v>TEEN INTL-CHI</v>
      </c>
      <c r="F75" s="19" t="s">
        <v>222</v>
      </c>
      <c r="G75" s="19"/>
      <c r="H75" s="19" t="s">
        <v>278</v>
      </c>
      <c r="I75" s="18"/>
      <c r="J75" s="18" t="s">
        <v>221</v>
      </c>
      <c r="K75" s="4" t="s">
        <v>332</v>
      </c>
      <c r="M75" s="6"/>
      <c r="N75" s="6"/>
    </row>
    <row r="76" spans="1:14" ht="24.75" customHeight="1" thickTop="1" thickBot="1" x14ac:dyDescent="0.35">
      <c r="A76" s="15">
        <f>COUNTIF(IndexTbl[unique],IndexTbl[[#This Row],[unique]])</f>
        <v>1</v>
      </c>
      <c r="B7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6" s="18" t="s">
        <v>30</v>
      </c>
      <c r="D76" s="18" t="b">
        <f>ISNUMBER(IndexTbl[[#This Row],[Class]])</f>
        <v>1</v>
      </c>
      <c r="E76" s="17" t="str">
        <f>TRIM(IndexTbl[[#This Row],[Prefix]]&amp;IF(NOT(IndexTbl[[#This Row],[Dewey Number]])," "&amp;IndexTbl[[#This Row],[Class]],""))</f>
        <v>TEEN INTL-CHI</v>
      </c>
      <c r="F76" s="19" t="s">
        <v>222</v>
      </c>
      <c r="G76" s="19">
        <v>999.99</v>
      </c>
      <c r="H76" s="19" t="s">
        <v>279</v>
      </c>
      <c r="I76" s="18"/>
      <c r="J76" s="18" t="s">
        <v>231</v>
      </c>
      <c r="K76" s="4" t="s">
        <v>332</v>
      </c>
      <c r="M76" s="6"/>
      <c r="N76" s="6"/>
    </row>
    <row r="77" spans="1:14" ht="24.75" customHeight="1" thickTop="1" thickBot="1" x14ac:dyDescent="0.35">
      <c r="A77" s="15">
        <f>COUNTIF(IndexTbl[unique],IndexTbl[[#This Row],[unique]])</f>
        <v>1</v>
      </c>
      <c r="B7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7" s="18" t="s">
        <v>30</v>
      </c>
      <c r="D77" s="18" t="b">
        <f>ISNUMBER(IndexTbl[[#This Row],[Class]])</f>
        <v>0</v>
      </c>
      <c r="E77" s="17" t="str">
        <f>TRIM(IndexTbl[[#This Row],[Prefix]]&amp;IF(NOT(IndexTbl[[#This Row],[Dewey Number]])," "&amp;IndexTbl[[#This Row],[Class]],""))</f>
        <v>TEEN INTL-CHI BIO</v>
      </c>
      <c r="F77" s="19" t="s">
        <v>222</v>
      </c>
      <c r="G77" s="19" t="s">
        <v>58</v>
      </c>
      <c r="H77" s="19" t="s">
        <v>265</v>
      </c>
      <c r="I77" s="18"/>
      <c r="J77" s="18" t="s">
        <v>238</v>
      </c>
      <c r="K77" s="4" t="s">
        <v>332</v>
      </c>
      <c r="M77" s="6"/>
      <c r="N77" s="6"/>
    </row>
    <row r="78" spans="1:14" ht="24.75" customHeight="1" thickTop="1" thickBot="1" x14ac:dyDescent="0.35">
      <c r="A78" s="15">
        <f>COUNTIF(IndexTbl[unique],IndexTbl[[#This Row],[unique]])</f>
        <v>1</v>
      </c>
      <c r="B7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8" s="18" t="s">
        <v>31</v>
      </c>
      <c r="D78" s="18" t="b">
        <f>ISNUMBER(IndexTbl[[#This Row],[Class]])</f>
        <v>0</v>
      </c>
      <c r="E78" s="17" t="str">
        <f>TRIM(IndexTbl[[#This Row],[Prefix]]&amp;IF(NOT(IndexTbl[[#This Row],[Dewey Number]])," "&amp;IndexTbl[[#This Row],[Class]],""))</f>
        <v>E INTL-KOR</v>
      </c>
      <c r="F78" s="19" t="s">
        <v>65</v>
      </c>
      <c r="G78" s="19"/>
      <c r="H78" s="19" t="s">
        <v>256</v>
      </c>
      <c r="I78" s="18"/>
      <c r="J78" s="18" t="s">
        <v>64</v>
      </c>
      <c r="K78" s="4" t="s">
        <v>332</v>
      </c>
      <c r="M78" s="6"/>
      <c r="N78" s="6"/>
    </row>
    <row r="79" spans="1:14" ht="24.75" customHeight="1" thickTop="1" thickBot="1" x14ac:dyDescent="0.35">
      <c r="A79" s="15">
        <f>COUNTIF(IndexTbl[unique],IndexTbl[[#This Row],[unique]])</f>
        <v>1</v>
      </c>
      <c r="B7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9" s="18" t="s">
        <v>31</v>
      </c>
      <c r="D79" s="18" t="b">
        <f>ISNUMBER(IndexTbl[[#This Row],[Class]])</f>
        <v>1</v>
      </c>
      <c r="E79" s="17" t="str">
        <f>TRIM(IndexTbl[[#This Row],[Prefix]]&amp;IF(NOT(IndexTbl[[#This Row],[Dewey Number]])," "&amp;IndexTbl[[#This Row],[Class]],""))</f>
        <v>E INTL-KOR</v>
      </c>
      <c r="F79" s="19" t="s">
        <v>65</v>
      </c>
      <c r="G79" s="19">
        <v>999.99</v>
      </c>
      <c r="H79" s="19" t="s">
        <v>251</v>
      </c>
      <c r="I79" s="18"/>
      <c r="J79" s="18" t="s">
        <v>76</v>
      </c>
      <c r="K79" s="4" t="s">
        <v>332</v>
      </c>
      <c r="M79" s="6"/>
      <c r="N79" s="6"/>
    </row>
    <row r="80" spans="1:14" ht="24.75" customHeight="1" thickTop="1" thickBot="1" x14ac:dyDescent="0.35">
      <c r="A80" s="15">
        <f>COUNTIF(IndexTbl[unique],IndexTbl[[#This Row],[unique]])</f>
        <v>1</v>
      </c>
      <c r="B8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80" s="18" t="s">
        <v>31</v>
      </c>
      <c r="D80" s="18" t="b">
        <f>ISNUMBER(IndexTbl[[#This Row],[Class]])</f>
        <v>0</v>
      </c>
      <c r="E80" s="17" t="str">
        <f>TRIM(IndexTbl[[#This Row],[Prefix]]&amp;IF(NOT(IndexTbl[[#This Row],[Dewey Number]])," "&amp;IndexTbl[[#This Row],[Class]],""))</f>
        <v>J INTL-KOR</v>
      </c>
      <c r="F80" s="19" t="s">
        <v>105</v>
      </c>
      <c r="G80" s="19"/>
      <c r="H80" s="19" t="s">
        <v>257</v>
      </c>
      <c r="I80" s="18"/>
      <c r="J80" s="18" t="s">
        <v>104</v>
      </c>
      <c r="K80" s="4" t="s">
        <v>332</v>
      </c>
      <c r="M80" s="6"/>
      <c r="N80" s="6"/>
    </row>
    <row r="81" spans="1:14" ht="24.75" customHeight="1" thickTop="1" thickBot="1" x14ac:dyDescent="0.35">
      <c r="A81" s="15">
        <f>COUNTIF(IndexTbl[unique],IndexTbl[[#This Row],[unique]])</f>
        <v>1</v>
      </c>
      <c r="B8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81" s="18" t="s">
        <v>31</v>
      </c>
      <c r="D81" s="18" t="b">
        <f>ISNUMBER(IndexTbl[[#This Row],[Class]])</f>
        <v>1</v>
      </c>
      <c r="E81" s="17" t="str">
        <f>TRIM(IndexTbl[[#This Row],[Prefix]]&amp;IF(NOT(IndexTbl[[#This Row],[Dewey Number]])," "&amp;IndexTbl[[#This Row],[Class]],""))</f>
        <v>J INTL-KOR</v>
      </c>
      <c r="F81" s="19" t="s">
        <v>105</v>
      </c>
      <c r="G81" s="19">
        <v>999.99</v>
      </c>
      <c r="H81" s="19" t="s">
        <v>251</v>
      </c>
      <c r="I81" s="18"/>
      <c r="J81" s="18" t="s">
        <v>116</v>
      </c>
      <c r="K81" s="4" t="s">
        <v>332</v>
      </c>
      <c r="M81" s="6"/>
      <c r="N81" s="6"/>
    </row>
    <row r="82" spans="1:14" ht="24.75" customHeight="1" thickTop="1" thickBot="1" x14ac:dyDescent="0.35">
      <c r="A82" s="15">
        <f>COUNTIF(IndexTbl[unique],IndexTbl[[#This Row],[unique]])</f>
        <v>1</v>
      </c>
      <c r="B8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82" s="18" t="s">
        <v>31</v>
      </c>
      <c r="D82" s="18" t="b">
        <f>ISNUMBER(IndexTbl[[#This Row],[Class]])</f>
        <v>0</v>
      </c>
      <c r="E82" s="17" t="str">
        <f>TRIM(IndexTbl[[#This Row],[Prefix]]&amp;IF(NOT(IndexTbl[[#This Row],[Dewey Number]])," "&amp;IndexTbl[[#This Row],[Class]],""))</f>
        <v>J INTL-KOR BIO</v>
      </c>
      <c r="F82" s="19" t="s">
        <v>105</v>
      </c>
      <c r="G82" s="19" t="s">
        <v>58</v>
      </c>
      <c r="H82" s="19" t="s">
        <v>265</v>
      </c>
      <c r="I82" s="18"/>
      <c r="J82" s="18" t="s">
        <v>122</v>
      </c>
      <c r="K82" s="4" t="s">
        <v>332</v>
      </c>
      <c r="M82" s="6"/>
      <c r="N82" s="6"/>
    </row>
    <row r="83" spans="1:14" ht="24.75" customHeight="1" thickTop="1" thickBot="1" x14ac:dyDescent="0.35">
      <c r="A83" s="15">
        <f>COUNTIF(IndexTbl[unique],IndexTbl[[#This Row],[unique]])</f>
        <v>1</v>
      </c>
      <c r="B8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83" s="18" t="s">
        <v>31</v>
      </c>
      <c r="D83" s="18" t="b">
        <f>ISNUMBER(IndexTbl[[#This Row],[Class]])</f>
        <v>0</v>
      </c>
      <c r="E83" s="17" t="str">
        <f>TRIM(IndexTbl[[#This Row],[Prefix]]&amp;IF(NOT(IndexTbl[[#This Row],[Dewey Number]])," "&amp;IndexTbl[[#This Row],[Class]],""))</f>
        <v>INTL-KOR FIC</v>
      </c>
      <c r="F83" s="19" t="s">
        <v>181</v>
      </c>
      <c r="G83" s="19" t="s">
        <v>182</v>
      </c>
      <c r="H83" s="19" t="s">
        <v>267</v>
      </c>
      <c r="I83" s="18"/>
      <c r="J83" s="18" t="s">
        <v>180</v>
      </c>
      <c r="K83" s="4" t="s">
        <v>332</v>
      </c>
      <c r="M83" s="6"/>
      <c r="N83" s="6"/>
    </row>
    <row r="84" spans="1:14" ht="24.75" customHeight="1" thickTop="1" thickBot="1" x14ac:dyDescent="0.35">
      <c r="A84" s="15">
        <f>COUNTIF(IndexTbl[unique],IndexTbl[[#This Row],[unique]])</f>
        <v>1</v>
      </c>
      <c r="B8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84" s="18" t="s">
        <v>31</v>
      </c>
      <c r="D84" s="18" t="b">
        <f>ISNUMBER(IndexTbl[[#This Row],[Class]])</f>
        <v>1</v>
      </c>
      <c r="E84" s="17" t="str">
        <f>TRIM(IndexTbl[[#This Row],[Prefix]]&amp;IF(NOT(IndexTbl[[#This Row],[Dewey Number]])," "&amp;IndexTbl[[#This Row],[Class]],""))</f>
        <v>INTL-KOR</v>
      </c>
      <c r="F84" s="19" t="s">
        <v>181</v>
      </c>
      <c r="G84" s="19">
        <v>999.99</v>
      </c>
      <c r="H84" s="19" t="s">
        <v>268</v>
      </c>
      <c r="I84" s="18"/>
      <c r="J84" s="18" t="s">
        <v>193</v>
      </c>
      <c r="K84" s="4" t="s">
        <v>332</v>
      </c>
      <c r="M84" s="6"/>
      <c r="N84" s="6"/>
    </row>
    <row r="85" spans="1:14" ht="24.75" customHeight="1" thickTop="1" thickBot="1" x14ac:dyDescent="0.35">
      <c r="A85" s="15">
        <f>COUNTIF(IndexTbl[unique],IndexTbl[[#This Row],[unique]])</f>
        <v>1</v>
      </c>
      <c r="B8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5" s="18" t="s">
        <v>31</v>
      </c>
      <c r="D85" s="18" t="b">
        <f>ISNUMBER(IndexTbl[[#This Row],[Class]])</f>
        <v>0</v>
      </c>
      <c r="E85" s="17" t="str">
        <f>TRIM(IndexTbl[[#This Row],[Prefix]]&amp;IF(NOT(IndexTbl[[#This Row],[Dewey Number]])," "&amp;IndexTbl[[#This Row],[Class]],""))</f>
        <v>INTL-KOR BIO</v>
      </c>
      <c r="F85" s="19" t="s">
        <v>181</v>
      </c>
      <c r="G85" s="19" t="s">
        <v>58</v>
      </c>
      <c r="H85" s="19" t="s">
        <v>265</v>
      </c>
      <c r="I85" s="18"/>
      <c r="J85" s="18" t="s">
        <v>199</v>
      </c>
      <c r="K85" s="4" t="s">
        <v>332</v>
      </c>
      <c r="M85" s="6"/>
      <c r="N85" s="6"/>
    </row>
    <row r="86" spans="1:14" ht="24.75" customHeight="1" thickTop="1" thickBot="1" x14ac:dyDescent="0.35">
      <c r="A86" s="15">
        <f>COUNTIF(IndexTbl[unique],IndexTbl[[#This Row],[unique]])</f>
        <v>1</v>
      </c>
      <c r="B8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6" s="18" t="s">
        <v>31</v>
      </c>
      <c r="D86" s="18" t="b">
        <f>ISNUMBER(IndexTbl[[#This Row],[Class]])</f>
        <v>0</v>
      </c>
      <c r="E86" s="17" t="str">
        <f>TRIM(IndexTbl[[#This Row],[Prefix]]&amp;IF(NOT(IndexTbl[[#This Row],[Dewey Number]])," "&amp;IndexTbl[[#This Row],[Class]],""))</f>
        <v>TEEN INTL-KOR</v>
      </c>
      <c r="F86" s="19" t="s">
        <v>218</v>
      </c>
      <c r="G86" s="19"/>
      <c r="H86" s="19" t="s">
        <v>278</v>
      </c>
      <c r="I86" s="18"/>
      <c r="J86" s="18" t="s">
        <v>217</v>
      </c>
      <c r="K86" s="4" t="s">
        <v>332</v>
      </c>
      <c r="M86" s="6"/>
      <c r="N86" s="6"/>
    </row>
    <row r="87" spans="1:14" ht="24.75" customHeight="1" thickTop="1" thickBot="1" x14ac:dyDescent="0.35">
      <c r="A87" s="15">
        <f>COUNTIF(IndexTbl[unique],IndexTbl[[#This Row],[unique]])</f>
        <v>1</v>
      </c>
      <c r="B8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7" s="18" t="s">
        <v>31</v>
      </c>
      <c r="D87" s="18" t="b">
        <f>ISNUMBER(IndexTbl[[#This Row],[Class]])</f>
        <v>1</v>
      </c>
      <c r="E87" s="17" t="str">
        <f>TRIM(IndexTbl[[#This Row],[Prefix]]&amp;IF(NOT(IndexTbl[[#This Row],[Dewey Number]])," "&amp;IndexTbl[[#This Row],[Class]],""))</f>
        <v>TEEN INTL-KOR</v>
      </c>
      <c r="F87" s="19" t="s">
        <v>218</v>
      </c>
      <c r="G87" s="19">
        <v>999.99</v>
      </c>
      <c r="H87" s="19" t="s">
        <v>279</v>
      </c>
      <c r="I87" s="18"/>
      <c r="J87" s="18" t="s">
        <v>229</v>
      </c>
      <c r="K87" s="4" t="s">
        <v>332</v>
      </c>
      <c r="M87" s="6"/>
      <c r="N87" s="6"/>
    </row>
    <row r="88" spans="1:14" ht="24.75" customHeight="1" thickTop="1" thickBot="1" x14ac:dyDescent="0.35">
      <c r="A88" s="15">
        <f>COUNTIF(IndexTbl[unique],IndexTbl[[#This Row],[unique]])</f>
        <v>1</v>
      </c>
      <c r="B8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8" s="18" t="s">
        <v>31</v>
      </c>
      <c r="D88" s="18" t="b">
        <f>ISNUMBER(IndexTbl[[#This Row],[Class]])</f>
        <v>0</v>
      </c>
      <c r="E88" s="17" t="str">
        <f>TRIM(IndexTbl[[#This Row],[Prefix]]&amp;IF(NOT(IndexTbl[[#This Row],[Dewey Number]])," "&amp;IndexTbl[[#This Row],[Class]],""))</f>
        <v>TEEN INTL-KOR BIO</v>
      </c>
      <c r="F88" s="19" t="s">
        <v>236</v>
      </c>
      <c r="G88" s="19" t="s">
        <v>58</v>
      </c>
      <c r="H88" s="19" t="s">
        <v>265</v>
      </c>
      <c r="I88" s="18"/>
      <c r="J88" s="18" t="s">
        <v>235</v>
      </c>
      <c r="K88" s="4" t="s">
        <v>332</v>
      </c>
      <c r="M88" s="6"/>
      <c r="N88" s="6"/>
    </row>
    <row r="89" spans="1:14" ht="24.75" customHeight="1" thickTop="1" thickBot="1" x14ac:dyDescent="0.35">
      <c r="A89" s="15">
        <f>COUNTIF(IndexTbl[unique],IndexTbl[[#This Row],[unique]])</f>
        <v>1</v>
      </c>
      <c r="B8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9" s="18" t="s">
        <v>32</v>
      </c>
      <c r="D89" s="18" t="b">
        <f>ISNUMBER(IndexTbl[[#This Row],[Class]])</f>
        <v>0</v>
      </c>
      <c r="E89" s="17" t="str">
        <f>TRIM(IndexTbl[[#This Row],[Prefix]]&amp;IF(NOT(IndexTbl[[#This Row],[Dewey Number]])," "&amp;IndexTbl[[#This Row],[Class]],""))</f>
        <v>E INTL-JPN</v>
      </c>
      <c r="F89" s="19" t="s">
        <v>67</v>
      </c>
      <c r="G89" s="19"/>
      <c r="H89" s="19" t="s">
        <v>256</v>
      </c>
      <c r="I89" s="18"/>
      <c r="J89" s="18" t="s">
        <v>66</v>
      </c>
      <c r="K89" s="4" t="s">
        <v>332</v>
      </c>
      <c r="M89" s="6"/>
      <c r="N89" s="6"/>
    </row>
    <row r="90" spans="1:14" ht="24.75" customHeight="1" thickTop="1" thickBot="1" x14ac:dyDescent="0.35">
      <c r="A90" s="15">
        <f>COUNTIF(IndexTbl[unique],IndexTbl[[#This Row],[unique]])</f>
        <v>1</v>
      </c>
      <c r="B9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90" s="18" t="s">
        <v>32</v>
      </c>
      <c r="D90" s="18" t="b">
        <f>ISNUMBER(IndexTbl[[#This Row],[Class]])</f>
        <v>1</v>
      </c>
      <c r="E90" s="17" t="str">
        <f>TRIM(IndexTbl[[#This Row],[Prefix]]&amp;IF(NOT(IndexTbl[[#This Row],[Dewey Number]])," "&amp;IndexTbl[[#This Row],[Class]],""))</f>
        <v>E INTL-JPN</v>
      </c>
      <c r="F90" s="19" t="s">
        <v>67</v>
      </c>
      <c r="G90" s="19">
        <v>999.99</v>
      </c>
      <c r="H90" s="19" t="s">
        <v>251</v>
      </c>
      <c r="I90" s="18"/>
      <c r="J90" s="18" t="s">
        <v>77</v>
      </c>
      <c r="K90" s="4" t="s">
        <v>332</v>
      </c>
      <c r="M90" s="6"/>
      <c r="N90" s="6"/>
    </row>
    <row r="91" spans="1:14" ht="24.75" customHeight="1" thickTop="1" thickBot="1" x14ac:dyDescent="0.35">
      <c r="A91" s="15">
        <f>COUNTIF(IndexTbl[unique],IndexTbl[[#This Row],[unique]])</f>
        <v>1</v>
      </c>
      <c r="B9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91" s="18" t="s">
        <v>32</v>
      </c>
      <c r="D91" s="18" t="b">
        <f>ISNUMBER(IndexTbl[[#This Row],[Class]])</f>
        <v>0</v>
      </c>
      <c r="E91" s="17" t="str">
        <f>TRIM(IndexTbl[[#This Row],[Prefix]]&amp;IF(NOT(IndexTbl[[#This Row],[Dewey Number]])," "&amp;IndexTbl[[#This Row],[Class]],""))</f>
        <v>J INTL-JPN</v>
      </c>
      <c r="F91" s="19" t="s">
        <v>107</v>
      </c>
      <c r="G91" s="19"/>
      <c r="H91" s="19" t="s">
        <v>257</v>
      </c>
      <c r="I91" s="18"/>
      <c r="J91" s="18" t="s">
        <v>106</v>
      </c>
      <c r="K91" s="4" t="s">
        <v>332</v>
      </c>
      <c r="M91" s="6"/>
      <c r="N91" s="6"/>
    </row>
    <row r="92" spans="1:14" ht="24.75" customHeight="1" thickTop="1" thickBot="1" x14ac:dyDescent="0.35">
      <c r="A92" s="15">
        <f>COUNTIF(IndexTbl[unique],IndexTbl[[#This Row],[unique]])</f>
        <v>1</v>
      </c>
      <c r="B9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92" s="18" t="s">
        <v>32</v>
      </c>
      <c r="D92" s="18" t="b">
        <f>ISNUMBER(IndexTbl[[#This Row],[Class]])</f>
        <v>1</v>
      </c>
      <c r="E92" s="17" t="str">
        <f>TRIM(IndexTbl[[#This Row],[Prefix]]&amp;IF(NOT(IndexTbl[[#This Row],[Dewey Number]])," "&amp;IndexTbl[[#This Row],[Class]],""))</f>
        <v>J INTL-JPN</v>
      </c>
      <c r="F92" s="19" t="s">
        <v>107</v>
      </c>
      <c r="G92" s="19">
        <v>999.99</v>
      </c>
      <c r="H92" s="19" t="s">
        <v>251</v>
      </c>
      <c r="I92" s="18"/>
      <c r="J92" s="18" t="s">
        <v>117</v>
      </c>
      <c r="K92" s="4" t="s">
        <v>332</v>
      </c>
      <c r="M92" s="6"/>
      <c r="N92" s="6"/>
    </row>
    <row r="93" spans="1:14" ht="24.75" customHeight="1" thickTop="1" thickBot="1" x14ac:dyDescent="0.35">
      <c r="A93" s="15">
        <f>COUNTIF(IndexTbl[unique],IndexTbl[[#This Row],[unique]])</f>
        <v>1</v>
      </c>
      <c r="B9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93" s="18" t="s">
        <v>32</v>
      </c>
      <c r="D93" s="18" t="b">
        <f>ISNUMBER(IndexTbl[[#This Row],[Class]])</f>
        <v>0</v>
      </c>
      <c r="E93" s="17" t="str">
        <f>TRIM(IndexTbl[[#This Row],[Prefix]]&amp;IF(NOT(IndexTbl[[#This Row],[Dewey Number]])," "&amp;IndexTbl[[#This Row],[Class]],""))</f>
        <v>J INTL-JPN BIO</v>
      </c>
      <c r="F93" s="19" t="s">
        <v>107</v>
      </c>
      <c r="G93" s="19" t="s">
        <v>58</v>
      </c>
      <c r="H93" s="19" t="s">
        <v>265</v>
      </c>
      <c r="I93" s="18"/>
      <c r="J93" s="18" t="s">
        <v>123</v>
      </c>
      <c r="K93" s="4" t="s">
        <v>332</v>
      </c>
      <c r="M93" s="6"/>
      <c r="N93" s="6"/>
    </row>
    <row r="94" spans="1:14" ht="24.75" customHeight="1" thickTop="1" thickBot="1" x14ac:dyDescent="0.35">
      <c r="A94" s="15">
        <f>COUNTIF(IndexTbl[unique],IndexTbl[[#This Row],[unique]])</f>
        <v>1</v>
      </c>
      <c r="B9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94" s="18" t="s">
        <v>32</v>
      </c>
      <c r="D94" s="18" t="b">
        <f>ISNUMBER(IndexTbl[[#This Row],[Class]])</f>
        <v>0</v>
      </c>
      <c r="E94" s="17" t="str">
        <f>TRIM(IndexTbl[[#This Row],[Prefix]]&amp;IF(NOT(IndexTbl[[#This Row],[Dewey Number]])," "&amp;IndexTbl[[#This Row],[Class]],""))</f>
        <v>INTL-JPN FIC</v>
      </c>
      <c r="F94" s="19" t="s">
        <v>184</v>
      </c>
      <c r="G94" s="19" t="s">
        <v>182</v>
      </c>
      <c r="H94" s="19" t="s">
        <v>267</v>
      </c>
      <c r="I94" s="18"/>
      <c r="J94" s="18" t="s">
        <v>183</v>
      </c>
      <c r="K94" s="4" t="s">
        <v>332</v>
      </c>
      <c r="M94" s="6"/>
      <c r="N94" s="6"/>
    </row>
    <row r="95" spans="1:14" ht="24.75" customHeight="1" thickTop="1" thickBot="1" x14ac:dyDescent="0.35">
      <c r="A95" s="15">
        <f>COUNTIF(IndexTbl[unique],IndexTbl[[#This Row],[unique]])</f>
        <v>1</v>
      </c>
      <c r="B9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5" s="18" t="s">
        <v>32</v>
      </c>
      <c r="D95" s="18" t="b">
        <f>ISNUMBER(IndexTbl[[#This Row],[Class]])</f>
        <v>1</v>
      </c>
      <c r="E95" s="17" t="str">
        <f>TRIM(IndexTbl[[#This Row],[Prefix]]&amp;IF(NOT(IndexTbl[[#This Row],[Dewey Number]])," "&amp;IndexTbl[[#This Row],[Class]],""))</f>
        <v>INTL-JPN</v>
      </c>
      <c r="F95" s="19" t="s">
        <v>184</v>
      </c>
      <c r="G95" s="19">
        <v>999.99</v>
      </c>
      <c r="H95" s="19" t="s">
        <v>268</v>
      </c>
      <c r="I95" s="18"/>
      <c r="J95" s="18" t="s">
        <v>194</v>
      </c>
      <c r="K95" s="4" t="s">
        <v>332</v>
      </c>
      <c r="M95" s="6"/>
      <c r="N95" s="6"/>
    </row>
    <row r="96" spans="1:14" ht="24.75" customHeight="1" thickTop="1" thickBot="1" x14ac:dyDescent="0.35">
      <c r="A96" s="15">
        <f>COUNTIF(IndexTbl[unique],IndexTbl[[#This Row],[unique]])</f>
        <v>1</v>
      </c>
      <c r="B9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6" s="18" t="s">
        <v>32</v>
      </c>
      <c r="D96" s="18" t="b">
        <f>ISNUMBER(IndexTbl[[#This Row],[Class]])</f>
        <v>0</v>
      </c>
      <c r="E96" s="17" t="str">
        <f>TRIM(IndexTbl[[#This Row],[Prefix]]&amp;IF(NOT(IndexTbl[[#This Row],[Dewey Number]])," "&amp;IndexTbl[[#This Row],[Class]],""))</f>
        <v>INTL-JPN BIO</v>
      </c>
      <c r="F96" s="19" t="s">
        <v>184</v>
      </c>
      <c r="G96" s="19" t="s">
        <v>58</v>
      </c>
      <c r="H96" s="19" t="s">
        <v>265</v>
      </c>
      <c r="I96" s="18"/>
      <c r="J96" s="18" t="s">
        <v>200</v>
      </c>
      <c r="K96" s="4" t="s">
        <v>332</v>
      </c>
      <c r="M96" s="6"/>
      <c r="N96" s="6"/>
    </row>
    <row r="97" spans="1:14" ht="24.75" customHeight="1" thickTop="1" thickBot="1" x14ac:dyDescent="0.35">
      <c r="A97" s="15">
        <f>COUNTIF(IndexTbl[unique],IndexTbl[[#This Row],[unique]])</f>
        <v>1</v>
      </c>
      <c r="B9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7" s="18" t="s">
        <v>32</v>
      </c>
      <c r="D97" s="18" t="b">
        <f>ISNUMBER(IndexTbl[[#This Row],[Class]])</f>
        <v>0</v>
      </c>
      <c r="E97" s="17" t="str">
        <f>TRIM(IndexTbl[[#This Row],[Prefix]]&amp;IF(NOT(IndexTbl[[#This Row],[Dewey Number]])," "&amp;IndexTbl[[#This Row],[Class]],""))</f>
        <v>TEEN INTL-JPN</v>
      </c>
      <c r="F97" s="19" t="s">
        <v>220</v>
      </c>
      <c r="G97" s="19"/>
      <c r="H97" s="19" t="s">
        <v>278</v>
      </c>
      <c r="I97" s="18"/>
      <c r="J97" s="18" t="s">
        <v>219</v>
      </c>
      <c r="K97" s="4" t="s">
        <v>332</v>
      </c>
      <c r="M97" s="6"/>
      <c r="N97" s="6"/>
    </row>
    <row r="98" spans="1:14" ht="24.75" customHeight="1" thickTop="1" thickBot="1" x14ac:dyDescent="0.35">
      <c r="A98" s="15">
        <f>COUNTIF(IndexTbl[unique],IndexTbl[[#This Row],[unique]])</f>
        <v>1</v>
      </c>
      <c r="B9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8" s="18" t="s">
        <v>32</v>
      </c>
      <c r="D98" s="18" t="b">
        <f>ISNUMBER(IndexTbl[[#This Row],[Class]])</f>
        <v>1</v>
      </c>
      <c r="E98" s="17" t="str">
        <f>TRIM(IndexTbl[[#This Row],[Prefix]]&amp;IF(NOT(IndexTbl[[#This Row],[Dewey Number]])," "&amp;IndexTbl[[#This Row],[Class]],""))</f>
        <v>TEEN INTL-JPN</v>
      </c>
      <c r="F98" s="19" t="s">
        <v>220</v>
      </c>
      <c r="G98" s="19">
        <v>999.99</v>
      </c>
      <c r="H98" s="19" t="s">
        <v>279</v>
      </c>
      <c r="I98" s="18"/>
      <c r="J98" s="18" t="s">
        <v>230</v>
      </c>
      <c r="K98" s="4" t="s">
        <v>332</v>
      </c>
      <c r="M98" s="6"/>
      <c r="N98" s="6"/>
    </row>
    <row r="99" spans="1:14" ht="24.75" customHeight="1" thickTop="1" thickBot="1" x14ac:dyDescent="0.35">
      <c r="A99" s="15">
        <f>COUNTIF(IndexTbl[unique],IndexTbl[[#This Row],[unique]])</f>
        <v>1</v>
      </c>
      <c r="B9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9" s="18" t="s">
        <v>32</v>
      </c>
      <c r="D99" s="18" t="b">
        <f>ISNUMBER(IndexTbl[[#This Row],[Class]])</f>
        <v>0</v>
      </c>
      <c r="E99" s="17" t="str">
        <f>TRIM(IndexTbl[[#This Row],[Prefix]]&amp;IF(NOT(IndexTbl[[#This Row],[Dewey Number]])," "&amp;IndexTbl[[#This Row],[Class]],""))</f>
        <v>TEEN INTL-JPN BIO</v>
      </c>
      <c r="F99" s="19" t="s">
        <v>220</v>
      </c>
      <c r="G99" s="19" t="s">
        <v>58</v>
      </c>
      <c r="H99" s="19" t="s">
        <v>265</v>
      </c>
      <c r="I99" s="18"/>
      <c r="J99" s="18" t="s">
        <v>237</v>
      </c>
      <c r="K99" s="4" t="s">
        <v>332</v>
      </c>
      <c r="M99" s="6"/>
      <c r="N99" s="6"/>
    </row>
    <row r="100" spans="1:14" ht="24.75" customHeight="1" thickTop="1" thickBot="1" x14ac:dyDescent="0.35">
      <c r="A100" s="15">
        <f>COUNTIF(IndexTbl[unique],IndexTbl[[#This Row],[unique]])</f>
        <v>1</v>
      </c>
      <c r="B10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100" s="18" t="s">
        <v>38</v>
      </c>
      <c r="D100" s="18" t="b">
        <f>ISNUMBER(IndexTbl[[#This Row],[Class]])</f>
        <v>0</v>
      </c>
      <c r="E100" s="17" t="str">
        <f>TRIM(IndexTbl[[#This Row],[Prefix]]&amp;IF(NOT(IndexTbl[[#This Row],[Dewey Number]])," "&amp;IndexTbl[[#This Row],[Class]],""))</f>
        <v>E INTL-RUS</v>
      </c>
      <c r="F100" s="19" t="s">
        <v>71</v>
      </c>
      <c r="G100" s="19"/>
      <c r="H100" s="19" t="s">
        <v>256</v>
      </c>
      <c r="I100" s="18"/>
      <c r="J100" s="18" t="s">
        <v>70</v>
      </c>
      <c r="K100" s="4" t="s">
        <v>332</v>
      </c>
      <c r="M100" s="6"/>
      <c r="N100" s="6"/>
    </row>
    <row r="101" spans="1:14" ht="24.75" customHeight="1" thickTop="1" thickBot="1" x14ac:dyDescent="0.35">
      <c r="A101" s="15">
        <f>COUNTIF(IndexTbl[unique],IndexTbl[[#This Row],[unique]])</f>
        <v>1</v>
      </c>
      <c r="B10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01" s="18" t="s">
        <v>38</v>
      </c>
      <c r="D101" s="18" t="b">
        <f>ISNUMBER(IndexTbl[[#This Row],[Class]])</f>
        <v>1</v>
      </c>
      <c r="E101" s="17" t="str">
        <f>TRIM(IndexTbl[[#This Row],[Prefix]]&amp;IF(NOT(IndexTbl[[#This Row],[Dewey Number]])," "&amp;IndexTbl[[#This Row],[Class]],""))</f>
        <v>E INTL-RUS</v>
      </c>
      <c r="F101" s="19" t="s">
        <v>81</v>
      </c>
      <c r="G101" s="19">
        <v>999.99</v>
      </c>
      <c r="H101" s="19" t="s">
        <v>251</v>
      </c>
      <c r="I101" s="18"/>
      <c r="J101" s="18" t="s">
        <v>80</v>
      </c>
      <c r="K101" s="4" t="s">
        <v>332</v>
      </c>
      <c r="M101" s="6"/>
      <c r="N101" s="6"/>
    </row>
    <row r="102" spans="1:14" ht="24.75" customHeight="1" thickTop="1" thickBot="1" x14ac:dyDescent="0.35">
      <c r="A102" s="15">
        <f>COUNTIF(IndexTbl[unique],IndexTbl[[#This Row],[unique]])</f>
        <v>1</v>
      </c>
      <c r="B10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02" s="18" t="s">
        <v>38</v>
      </c>
      <c r="D102" s="18" t="b">
        <f>ISNUMBER(IndexTbl[[#This Row],[Class]])</f>
        <v>0</v>
      </c>
      <c r="E102" s="17" t="str">
        <f>TRIM(IndexTbl[[#This Row],[Prefix]]&amp;IF(NOT(IndexTbl[[#This Row],[Dewey Number]])," "&amp;IndexTbl[[#This Row],[Class]],""))</f>
        <v>J INTL-RUS</v>
      </c>
      <c r="F102" s="19" t="s">
        <v>111</v>
      </c>
      <c r="G102" s="19"/>
      <c r="H102" s="19" t="s">
        <v>257</v>
      </c>
      <c r="I102" s="18"/>
      <c r="J102" s="18" t="s">
        <v>110</v>
      </c>
      <c r="K102" s="4" t="s">
        <v>332</v>
      </c>
      <c r="M102" s="6"/>
      <c r="N102" s="6"/>
    </row>
    <row r="103" spans="1:14" ht="24.75" customHeight="1" thickTop="1" thickBot="1" x14ac:dyDescent="0.35">
      <c r="A103" s="15">
        <f>COUNTIF(IndexTbl[unique],IndexTbl[[#This Row],[unique]])</f>
        <v>1</v>
      </c>
      <c r="B10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03" s="18" t="s">
        <v>38</v>
      </c>
      <c r="D103" s="18" t="b">
        <f>ISNUMBER(IndexTbl[[#This Row],[Class]])</f>
        <v>1</v>
      </c>
      <c r="E103" s="17" t="str">
        <f>TRIM(IndexTbl[[#This Row],[Prefix]]&amp;IF(NOT(IndexTbl[[#This Row],[Dewey Number]])," "&amp;IndexTbl[[#This Row],[Class]],""))</f>
        <v>J INTL-RUS</v>
      </c>
      <c r="F103" s="19" t="s">
        <v>111</v>
      </c>
      <c r="G103" s="19">
        <v>999.99</v>
      </c>
      <c r="H103" s="19" t="s">
        <v>251</v>
      </c>
      <c r="I103" s="18"/>
      <c r="J103" s="18" t="s">
        <v>119</v>
      </c>
      <c r="K103" s="4" t="s">
        <v>332</v>
      </c>
      <c r="M103" s="6"/>
      <c r="N103" s="6"/>
    </row>
    <row r="104" spans="1:14" ht="24.75" customHeight="1" thickTop="1" thickBot="1" x14ac:dyDescent="0.35">
      <c r="A104" s="15">
        <f>COUNTIF(IndexTbl[unique],IndexTbl[[#This Row],[unique]])</f>
        <v>1</v>
      </c>
      <c r="B10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04" s="18" t="s">
        <v>38</v>
      </c>
      <c r="D104" s="18" t="b">
        <f>ISNUMBER(IndexTbl[[#This Row],[Class]])</f>
        <v>0</v>
      </c>
      <c r="E104" s="17" t="str">
        <f>TRIM(IndexTbl[[#This Row],[Prefix]]&amp;IF(NOT(IndexTbl[[#This Row],[Dewey Number]])," "&amp;IndexTbl[[#This Row],[Class]],""))</f>
        <v>J INTL-RUS BIO</v>
      </c>
      <c r="F104" s="19" t="s">
        <v>111</v>
      </c>
      <c r="G104" s="19" t="s">
        <v>58</v>
      </c>
      <c r="H104" s="19" t="s">
        <v>265</v>
      </c>
      <c r="I104" s="18"/>
      <c r="J104" s="18" t="s">
        <v>125</v>
      </c>
      <c r="K104" s="4" t="s">
        <v>332</v>
      </c>
      <c r="M104" s="6"/>
      <c r="N104" s="6"/>
    </row>
    <row r="105" spans="1:14" ht="24.75" customHeight="1" thickTop="1" thickBot="1" x14ac:dyDescent="0.35">
      <c r="A105" s="15">
        <f>COUNTIF(IndexTbl[unique],IndexTbl[[#This Row],[unique]])</f>
        <v>1</v>
      </c>
      <c r="B10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5" s="18" t="s">
        <v>38</v>
      </c>
      <c r="D105" s="18" t="b">
        <f>ISNUMBER(IndexTbl[[#This Row],[Class]])</f>
        <v>0</v>
      </c>
      <c r="E105" s="17" t="str">
        <f>TRIM(IndexTbl[[#This Row],[Prefix]]&amp;IF(NOT(IndexTbl[[#This Row],[Dewey Number]])," "&amp;IndexTbl[[#This Row],[Class]],""))</f>
        <v>INTL-RUS FIC</v>
      </c>
      <c r="F105" s="19" t="s">
        <v>188</v>
      </c>
      <c r="G105" s="19" t="s">
        <v>182</v>
      </c>
      <c r="H105" s="19" t="s">
        <v>267</v>
      </c>
      <c r="I105" s="18"/>
      <c r="J105" s="18" t="s">
        <v>187</v>
      </c>
      <c r="K105" s="4" t="s">
        <v>332</v>
      </c>
      <c r="M105" s="6"/>
      <c r="N105" s="6"/>
    </row>
    <row r="106" spans="1:14" ht="24.75" customHeight="1" thickTop="1" thickBot="1" x14ac:dyDescent="0.35">
      <c r="A106" s="15">
        <f>COUNTIF(IndexTbl[unique],IndexTbl[[#This Row],[unique]])</f>
        <v>1</v>
      </c>
      <c r="B10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6" s="18" t="s">
        <v>38</v>
      </c>
      <c r="D106" s="18" t="b">
        <f>ISNUMBER(IndexTbl[[#This Row],[Class]])</f>
        <v>1</v>
      </c>
      <c r="E106" s="17" t="str">
        <f>TRIM(IndexTbl[[#This Row],[Prefix]]&amp;IF(NOT(IndexTbl[[#This Row],[Dewey Number]])," "&amp;IndexTbl[[#This Row],[Class]],""))</f>
        <v>INTL-RUS</v>
      </c>
      <c r="F106" s="19" t="s">
        <v>188</v>
      </c>
      <c r="G106" s="19">
        <v>999.99</v>
      </c>
      <c r="H106" s="19" t="s">
        <v>268</v>
      </c>
      <c r="I106" s="18"/>
      <c r="J106" s="18" t="s">
        <v>196</v>
      </c>
      <c r="K106" s="4" t="s">
        <v>332</v>
      </c>
      <c r="M106" s="6"/>
      <c r="N106" s="6"/>
    </row>
    <row r="107" spans="1:14" ht="24.75" customHeight="1" thickTop="1" thickBot="1" x14ac:dyDescent="0.35">
      <c r="A107" s="15">
        <f>COUNTIF(IndexTbl[unique],IndexTbl[[#This Row],[unique]])</f>
        <v>1</v>
      </c>
      <c r="B10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7" s="18" t="s">
        <v>38</v>
      </c>
      <c r="D107" s="18" t="b">
        <f>ISNUMBER(IndexTbl[[#This Row],[Class]])</f>
        <v>0</v>
      </c>
      <c r="E107" s="17" t="str">
        <f>TRIM(IndexTbl[[#This Row],[Prefix]]&amp;IF(NOT(IndexTbl[[#This Row],[Dewey Number]])," "&amp;IndexTbl[[#This Row],[Class]],""))</f>
        <v>INTL-RUS BIO</v>
      </c>
      <c r="F107" s="19" t="s">
        <v>188</v>
      </c>
      <c r="G107" s="19" t="s">
        <v>58</v>
      </c>
      <c r="H107" s="19" t="s">
        <v>265</v>
      </c>
      <c r="I107" s="18"/>
      <c r="J107" s="18" t="s">
        <v>202</v>
      </c>
      <c r="K107" s="4" t="s">
        <v>332</v>
      </c>
      <c r="M107" s="6"/>
      <c r="N107" s="6"/>
    </row>
    <row r="108" spans="1:14" ht="24.75" customHeight="1" thickTop="1" thickBot="1" x14ac:dyDescent="0.35">
      <c r="A108" s="15">
        <f>COUNTIF(IndexTbl[unique],IndexTbl[[#This Row],[unique]])</f>
        <v>1</v>
      </c>
      <c r="B10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8" s="18" t="s">
        <v>38</v>
      </c>
      <c r="D108" s="18" t="b">
        <f>ISNUMBER(IndexTbl[[#This Row],[Class]])</f>
        <v>0</v>
      </c>
      <c r="E108" s="17" t="str">
        <f>TRIM(IndexTbl[[#This Row],[Prefix]]&amp;IF(NOT(IndexTbl[[#This Row],[Dewey Number]])," "&amp;IndexTbl[[#This Row],[Class]],""))</f>
        <v>TEEN INTL-RUS</v>
      </c>
      <c r="F108" s="19" t="s">
        <v>224</v>
      </c>
      <c r="G108" s="19"/>
      <c r="H108" s="19" t="s">
        <v>278</v>
      </c>
      <c r="I108" s="18"/>
      <c r="J108" s="18" t="s">
        <v>223</v>
      </c>
      <c r="K108" s="4" t="s">
        <v>332</v>
      </c>
      <c r="M108" s="6"/>
      <c r="N108" s="6"/>
    </row>
    <row r="109" spans="1:14" ht="24.75" customHeight="1" thickTop="1" thickBot="1" x14ac:dyDescent="0.35">
      <c r="A109" s="15">
        <f>COUNTIF(IndexTbl[unique],IndexTbl[[#This Row],[unique]])</f>
        <v>1</v>
      </c>
      <c r="B10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9" s="18" t="s">
        <v>38</v>
      </c>
      <c r="D109" s="18" t="b">
        <f>ISNUMBER(IndexTbl[[#This Row],[Class]])</f>
        <v>1</v>
      </c>
      <c r="E109" s="17" t="str">
        <f>TRIM(IndexTbl[[#This Row],[Prefix]]&amp;IF(NOT(IndexTbl[[#This Row],[Dewey Number]])," "&amp;IndexTbl[[#This Row],[Class]],""))</f>
        <v>TEEN INTL-RUS</v>
      </c>
      <c r="F109" s="19" t="s">
        <v>224</v>
      </c>
      <c r="G109" s="19">
        <v>999.99</v>
      </c>
      <c r="H109" s="19" t="s">
        <v>279</v>
      </c>
      <c r="I109" s="18"/>
      <c r="J109" s="18" t="s">
        <v>232</v>
      </c>
      <c r="K109" s="4" t="s">
        <v>332</v>
      </c>
      <c r="M109" s="6"/>
      <c r="N109" s="6"/>
    </row>
    <row r="110" spans="1:14" ht="24.75" customHeight="1" thickTop="1" thickBot="1" x14ac:dyDescent="0.35">
      <c r="A110" s="15">
        <f>COUNTIF(IndexTbl[unique],IndexTbl[[#This Row],[unique]])</f>
        <v>1</v>
      </c>
      <c r="B11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10" s="18" t="s">
        <v>38</v>
      </c>
      <c r="D110" s="18" t="b">
        <f>ISNUMBER(IndexTbl[[#This Row],[Class]])</f>
        <v>0</v>
      </c>
      <c r="E110" s="17" t="str">
        <f>TRIM(IndexTbl[[#This Row],[Prefix]]&amp;IF(NOT(IndexTbl[[#This Row],[Dewey Number]])," "&amp;IndexTbl[[#This Row],[Class]],""))</f>
        <v>TEEN INTL-RUS BIO</v>
      </c>
      <c r="F110" s="19" t="s">
        <v>224</v>
      </c>
      <c r="G110" s="19" t="s">
        <v>58</v>
      </c>
      <c r="H110" s="19" t="s">
        <v>265</v>
      </c>
      <c r="I110" s="18"/>
      <c r="J110" s="18" t="s">
        <v>239</v>
      </c>
      <c r="K110" s="4" t="s">
        <v>332</v>
      </c>
      <c r="M110" s="6"/>
      <c r="N110" s="6"/>
    </row>
    <row r="111" spans="1:14" ht="24.75" customHeight="1" thickTop="1" thickBot="1" x14ac:dyDescent="0.35">
      <c r="A111" s="15">
        <f>COUNTIF(IndexTbl[unique],IndexTbl[[#This Row],[unique]])</f>
        <v>1</v>
      </c>
      <c r="B11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11" s="18" t="s">
        <v>33</v>
      </c>
      <c r="D111" s="18" t="b">
        <f>ISNUMBER(IndexTbl[[#This Row],[Class]])</f>
        <v>0</v>
      </c>
      <c r="E111" s="17" t="str">
        <f>TRIM(IndexTbl[[#This Row],[Prefix]]&amp;IF(NOT(IndexTbl[[#This Row],[Dewey Number]])," "&amp;IndexTbl[[#This Row],[Class]],""))</f>
        <v>E INTL-SPA</v>
      </c>
      <c r="F111" s="19" t="s">
        <v>73</v>
      </c>
      <c r="G111" s="19"/>
      <c r="H111" s="19" t="s">
        <v>256</v>
      </c>
      <c r="I111" s="18"/>
      <c r="J111" s="18" t="s">
        <v>72</v>
      </c>
      <c r="K111" s="4" t="s">
        <v>332</v>
      </c>
      <c r="M111" s="6"/>
      <c r="N111" s="6"/>
    </row>
    <row r="112" spans="1:14" ht="24.75" customHeight="1" thickTop="1" thickBot="1" x14ac:dyDescent="0.35">
      <c r="A112" s="15">
        <f>COUNTIF(IndexTbl[unique],IndexTbl[[#This Row],[unique]])</f>
        <v>1</v>
      </c>
      <c r="B11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12" s="18" t="s">
        <v>33</v>
      </c>
      <c r="D112" s="18" t="b">
        <f>ISNUMBER(IndexTbl[[#This Row],[Class]])</f>
        <v>1</v>
      </c>
      <c r="E112" s="17" t="str">
        <f>TRIM(IndexTbl[[#This Row],[Prefix]]&amp;IF(NOT(IndexTbl[[#This Row],[Dewey Number]])," "&amp;IndexTbl[[#This Row],[Class]],""))</f>
        <v>E INTL-SPA</v>
      </c>
      <c r="F112" s="19" t="s">
        <v>83</v>
      </c>
      <c r="G112" s="19">
        <v>999.99</v>
      </c>
      <c r="H112" s="19" t="s">
        <v>251</v>
      </c>
      <c r="I112" s="18"/>
      <c r="J112" s="18" t="s">
        <v>82</v>
      </c>
      <c r="K112" s="4" t="s">
        <v>332</v>
      </c>
      <c r="M112" s="6"/>
      <c r="N112" s="6"/>
    </row>
    <row r="113" spans="1:14" ht="24.75" customHeight="1" thickTop="1" thickBot="1" x14ac:dyDescent="0.35">
      <c r="A113" s="15">
        <f>COUNTIF(IndexTbl[unique],IndexTbl[[#This Row],[unique]])</f>
        <v>1</v>
      </c>
      <c r="B11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13" s="18" t="s">
        <v>33</v>
      </c>
      <c r="D113" s="18" t="b">
        <f>ISNUMBER(IndexTbl[[#This Row],[Class]])</f>
        <v>0</v>
      </c>
      <c r="E113" s="17" t="str">
        <f>TRIM(IndexTbl[[#This Row],[Prefix]]&amp;IF(NOT(IndexTbl[[#This Row],[Dewey Number]])," "&amp;IndexTbl[[#This Row],[Class]],""))</f>
        <v>J INTL-SPA</v>
      </c>
      <c r="F113" s="19" t="s">
        <v>113</v>
      </c>
      <c r="G113" s="19"/>
      <c r="H113" s="19" t="s">
        <v>257</v>
      </c>
      <c r="I113" s="18"/>
      <c r="J113" s="18" t="s">
        <v>112</v>
      </c>
      <c r="K113" s="4" t="s">
        <v>332</v>
      </c>
      <c r="M113" s="6"/>
      <c r="N113" s="6"/>
    </row>
    <row r="114" spans="1:14" ht="24.75" customHeight="1" thickTop="1" thickBot="1" x14ac:dyDescent="0.35">
      <c r="A114" s="15">
        <f>COUNTIF(IndexTbl[unique],IndexTbl[[#This Row],[unique]])</f>
        <v>1</v>
      </c>
      <c r="B11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14" s="18" t="s">
        <v>33</v>
      </c>
      <c r="D114" s="18" t="b">
        <f>ISNUMBER(IndexTbl[[#This Row],[Class]])</f>
        <v>1</v>
      </c>
      <c r="E114" s="17" t="str">
        <f>TRIM(IndexTbl[[#This Row],[Prefix]]&amp;IF(NOT(IndexTbl[[#This Row],[Dewey Number]])," "&amp;IndexTbl[[#This Row],[Class]],""))</f>
        <v>J INTL-SPA</v>
      </c>
      <c r="F114" s="19" t="s">
        <v>113</v>
      </c>
      <c r="G114" s="19">
        <v>999.99</v>
      </c>
      <c r="H114" s="19" t="s">
        <v>251</v>
      </c>
      <c r="I114" s="18"/>
      <c r="J114" s="18" t="s">
        <v>120</v>
      </c>
      <c r="K114" s="4" t="s">
        <v>332</v>
      </c>
      <c r="M114" s="6"/>
      <c r="N114" s="6"/>
    </row>
    <row r="115" spans="1:14" ht="24.75" customHeight="1" thickTop="1" thickBot="1" x14ac:dyDescent="0.35">
      <c r="A115" s="15">
        <f>COUNTIF(IndexTbl[unique],IndexTbl[[#This Row],[unique]])</f>
        <v>1</v>
      </c>
      <c r="B11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5" s="18" t="s">
        <v>33</v>
      </c>
      <c r="D115" s="18" t="b">
        <f>ISNUMBER(IndexTbl[[#This Row],[Class]])</f>
        <v>0</v>
      </c>
      <c r="E115" s="17" t="str">
        <f>TRIM(IndexTbl[[#This Row],[Prefix]]&amp;IF(NOT(IndexTbl[[#This Row],[Dewey Number]])," "&amp;IndexTbl[[#This Row],[Class]],""))</f>
        <v>J INTL-SPA BIO</v>
      </c>
      <c r="F115" s="19" t="s">
        <v>113</v>
      </c>
      <c r="G115" s="19" t="s">
        <v>58</v>
      </c>
      <c r="H115" s="19" t="s">
        <v>265</v>
      </c>
      <c r="I115" s="18"/>
      <c r="J115" s="18" t="s">
        <v>126</v>
      </c>
      <c r="K115" s="4" t="s">
        <v>332</v>
      </c>
      <c r="M115" s="6"/>
      <c r="N115" s="6"/>
    </row>
    <row r="116" spans="1:14" ht="24.75" customHeight="1" thickTop="1" thickBot="1" x14ac:dyDescent="0.35">
      <c r="A116" s="15">
        <f>COUNTIF(IndexTbl[unique],IndexTbl[[#This Row],[unique]])</f>
        <v>1</v>
      </c>
      <c r="B11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6" s="18" t="s">
        <v>33</v>
      </c>
      <c r="D116" s="18" t="b">
        <f>ISNUMBER(IndexTbl[[#This Row],[Class]])</f>
        <v>0</v>
      </c>
      <c r="E116" s="17" t="str">
        <f>TRIM(IndexTbl[[#This Row],[Prefix]]&amp;IF(NOT(IndexTbl[[#This Row],[Dewey Number]])," "&amp;IndexTbl[[#This Row],[Class]],""))</f>
        <v>INTL-SPA FIC</v>
      </c>
      <c r="F116" s="19" t="s">
        <v>190</v>
      </c>
      <c r="G116" s="19" t="s">
        <v>182</v>
      </c>
      <c r="H116" s="19" t="s">
        <v>267</v>
      </c>
      <c r="I116" s="18"/>
      <c r="J116" s="18" t="s">
        <v>189</v>
      </c>
      <c r="K116" s="4" t="s">
        <v>332</v>
      </c>
      <c r="M116" s="6"/>
      <c r="N116" s="6"/>
    </row>
    <row r="117" spans="1:14" ht="24.75" customHeight="1" thickTop="1" thickBot="1" x14ac:dyDescent="0.35">
      <c r="A117" s="15">
        <f>COUNTIF(IndexTbl[unique],IndexTbl[[#This Row],[unique]])</f>
        <v>1</v>
      </c>
      <c r="B11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7" s="18" t="s">
        <v>33</v>
      </c>
      <c r="D117" s="18" t="b">
        <f>ISNUMBER(IndexTbl[[#This Row],[Class]])</f>
        <v>1</v>
      </c>
      <c r="E117" s="17" t="str">
        <f>TRIM(IndexTbl[[#This Row],[Prefix]]&amp;IF(NOT(IndexTbl[[#This Row],[Dewey Number]])," "&amp;IndexTbl[[#This Row],[Class]],""))</f>
        <v>INTL-SPA</v>
      </c>
      <c r="F117" s="19" t="s">
        <v>190</v>
      </c>
      <c r="G117" s="19">
        <v>999.99</v>
      </c>
      <c r="H117" s="19" t="s">
        <v>268</v>
      </c>
      <c r="I117" s="18"/>
      <c r="J117" s="18" t="s">
        <v>197</v>
      </c>
      <c r="K117" s="4" t="s">
        <v>332</v>
      </c>
      <c r="M117" s="6"/>
      <c r="N117" s="6"/>
    </row>
    <row r="118" spans="1:14" ht="24.75" customHeight="1" thickTop="1" thickBot="1" x14ac:dyDescent="0.35">
      <c r="A118" s="15">
        <f>COUNTIF(IndexTbl[unique],IndexTbl[[#This Row],[unique]])</f>
        <v>1</v>
      </c>
      <c r="B11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8" s="18" t="s">
        <v>33</v>
      </c>
      <c r="D118" s="18" t="b">
        <f>ISNUMBER(IndexTbl[[#This Row],[Class]])</f>
        <v>0</v>
      </c>
      <c r="E118" s="17" t="str">
        <f>TRIM(IndexTbl[[#This Row],[Prefix]]&amp;IF(NOT(IndexTbl[[#This Row],[Dewey Number]])," "&amp;IndexTbl[[#This Row],[Class]],""))</f>
        <v>INTL-SPA BIO</v>
      </c>
      <c r="F118" s="19" t="s">
        <v>190</v>
      </c>
      <c r="G118" s="19" t="s">
        <v>58</v>
      </c>
      <c r="H118" s="19" t="s">
        <v>265</v>
      </c>
      <c r="I118" s="18"/>
      <c r="J118" s="18" t="s">
        <v>203</v>
      </c>
      <c r="K118" s="4" t="s">
        <v>332</v>
      </c>
      <c r="M118" s="6"/>
      <c r="N118" s="6"/>
    </row>
    <row r="119" spans="1:14" ht="24.75" customHeight="1" thickTop="1" thickBot="1" x14ac:dyDescent="0.35">
      <c r="A119" s="15">
        <f>COUNTIF(IndexTbl[unique],IndexTbl[[#This Row],[unique]])</f>
        <v>1</v>
      </c>
      <c r="B11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9" s="18" t="s">
        <v>33</v>
      </c>
      <c r="D119" s="18" t="b">
        <f>ISNUMBER(IndexTbl[[#This Row],[Class]])</f>
        <v>0</v>
      </c>
      <c r="E119" s="17" t="str">
        <f>TRIM(IndexTbl[[#This Row],[Prefix]]&amp;IF(NOT(IndexTbl[[#This Row],[Dewey Number]])," "&amp;IndexTbl[[#This Row],[Class]],""))</f>
        <v>TEEN INTL-SPA</v>
      </c>
      <c r="F119" s="19" t="s">
        <v>226</v>
      </c>
      <c r="G119" s="19"/>
      <c r="H119" s="19" t="s">
        <v>278</v>
      </c>
      <c r="I119" s="18"/>
      <c r="J119" s="18" t="s">
        <v>225</v>
      </c>
      <c r="K119" s="4" t="s">
        <v>332</v>
      </c>
      <c r="M119" s="6"/>
      <c r="N119" s="6"/>
    </row>
    <row r="120" spans="1:14" ht="24.75" customHeight="1" thickTop="1" thickBot="1" x14ac:dyDescent="0.35">
      <c r="A120" s="15">
        <f>COUNTIF(IndexTbl[unique],IndexTbl[[#This Row],[unique]])</f>
        <v>1</v>
      </c>
      <c r="B12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20" s="18" t="s">
        <v>33</v>
      </c>
      <c r="D120" s="18" t="b">
        <f>ISNUMBER(IndexTbl[[#This Row],[Class]])</f>
        <v>1</v>
      </c>
      <c r="E120" s="17" t="str">
        <f>TRIM(IndexTbl[[#This Row],[Prefix]]&amp;IF(NOT(IndexTbl[[#This Row],[Dewey Number]])," "&amp;IndexTbl[[#This Row],[Class]],""))</f>
        <v>TEEN INTL-SPA</v>
      </c>
      <c r="F120" s="19" t="s">
        <v>226</v>
      </c>
      <c r="G120" s="19">
        <v>999.99</v>
      </c>
      <c r="H120" s="19" t="s">
        <v>279</v>
      </c>
      <c r="I120" s="18"/>
      <c r="J120" s="18" t="s">
        <v>233</v>
      </c>
      <c r="K120" s="4" t="s">
        <v>332</v>
      </c>
      <c r="M120" s="6"/>
      <c r="N120" s="6"/>
    </row>
    <row r="121" spans="1:14" ht="24.75" customHeight="1" thickTop="1" thickBot="1" x14ac:dyDescent="0.35">
      <c r="A121" s="15">
        <f>COUNTIF(IndexTbl[unique],IndexTbl[[#This Row],[unique]])</f>
        <v>1</v>
      </c>
      <c r="B12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21" s="18" t="s">
        <v>33</v>
      </c>
      <c r="D121" s="18" t="b">
        <f>ISNUMBER(IndexTbl[[#This Row],[Class]])</f>
        <v>0</v>
      </c>
      <c r="E121" s="17" t="str">
        <f>TRIM(IndexTbl[[#This Row],[Prefix]]&amp;IF(NOT(IndexTbl[[#This Row],[Dewey Number]])," "&amp;IndexTbl[[#This Row],[Class]],""))</f>
        <v>TEEN INTL-SPA BIO</v>
      </c>
      <c r="F121" s="19" t="s">
        <v>226</v>
      </c>
      <c r="G121" s="19" t="s">
        <v>58</v>
      </c>
      <c r="H121" s="19" t="s">
        <v>265</v>
      </c>
      <c r="I121" s="18"/>
      <c r="J121" s="18" t="s">
        <v>240</v>
      </c>
      <c r="K121" s="4" t="s">
        <v>332</v>
      </c>
      <c r="M121" s="6"/>
      <c r="N121" s="6"/>
    </row>
    <row r="122" spans="1:14" ht="24.75" customHeight="1" thickTop="1" thickBot="1" x14ac:dyDescent="0.35">
      <c r="A122" s="15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22" s="16" t="s">
        <v>305</v>
      </c>
      <c r="D122" s="16" t="b">
        <f>ISNUMBER(IndexTbl[[#This Row],[Class]])</f>
        <v>0</v>
      </c>
      <c r="E122" s="17" t="str">
        <f>TRIM(IndexTbl[[#This Row],[Prefix]]&amp;IF(NOT(IndexTbl[[#This Row],[Dewey Number]])," "&amp;IndexTbl[[#This Row],[Class]],""))</f>
        <v>E INTL-TAG</v>
      </c>
      <c r="F122" s="19" t="s">
        <v>309</v>
      </c>
      <c r="G122" s="19"/>
      <c r="H122" s="19" t="s">
        <v>256</v>
      </c>
      <c r="I122" s="18"/>
      <c r="J122" s="18" t="s">
        <v>313</v>
      </c>
      <c r="K122" s="4" t="s">
        <v>332</v>
      </c>
      <c r="M122" s="6"/>
      <c r="N122" s="6"/>
    </row>
    <row r="123" spans="1:14" ht="24.75" customHeight="1" thickTop="1" thickBot="1" x14ac:dyDescent="0.35">
      <c r="A123" s="15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23" s="16" t="s">
        <v>305</v>
      </c>
      <c r="D123" s="16" t="b">
        <f>ISNUMBER(IndexTbl[[#This Row],[Class]])</f>
        <v>1</v>
      </c>
      <c r="E123" s="17" t="str">
        <f>TRIM(IndexTbl[[#This Row],[Prefix]]&amp;IF(NOT(IndexTbl[[#This Row],[Dewey Number]])," "&amp;IndexTbl[[#This Row],[Class]],""))</f>
        <v>E INTL-TAG</v>
      </c>
      <c r="F123" s="19" t="s">
        <v>309</v>
      </c>
      <c r="G123" s="19">
        <v>999.99</v>
      </c>
      <c r="H123" s="19" t="s">
        <v>251</v>
      </c>
      <c r="I123" s="18"/>
      <c r="J123" s="18" t="s">
        <v>314</v>
      </c>
      <c r="K123" s="4" t="s">
        <v>332</v>
      </c>
      <c r="M123" s="6"/>
      <c r="N123" s="6"/>
    </row>
    <row r="124" spans="1:14" ht="24.75" customHeight="1" thickTop="1" thickBot="1" x14ac:dyDescent="0.35">
      <c r="A124" s="15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24" s="16" t="s">
        <v>305</v>
      </c>
      <c r="D124" s="16" t="b">
        <f>ISNUMBER(IndexTbl[[#This Row],[Class]])</f>
        <v>0</v>
      </c>
      <c r="E124" s="17" t="str">
        <f>TRIM(IndexTbl[[#This Row],[Prefix]]&amp;IF(NOT(IndexTbl[[#This Row],[Dewey Number]])," "&amp;IndexTbl[[#This Row],[Class]],""))</f>
        <v>J INTL-TAG</v>
      </c>
      <c r="F124" s="19" t="s">
        <v>310</v>
      </c>
      <c r="G124" s="19"/>
      <c r="H124" s="19" t="s">
        <v>257</v>
      </c>
      <c r="I124" s="18"/>
      <c r="J124" s="18" t="s">
        <v>315</v>
      </c>
      <c r="K124" s="4" t="s">
        <v>332</v>
      </c>
      <c r="M124" s="6"/>
      <c r="N124" s="6"/>
    </row>
    <row r="125" spans="1:14" ht="24.75" customHeight="1" thickTop="1" thickBot="1" x14ac:dyDescent="0.35">
      <c r="A125" s="15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5" s="16" t="s">
        <v>305</v>
      </c>
      <c r="D125" s="16" t="b">
        <f>ISNUMBER(IndexTbl[[#This Row],[Class]])</f>
        <v>1</v>
      </c>
      <c r="E125" s="17" t="str">
        <f>TRIM(IndexTbl[[#This Row],[Prefix]]&amp;IF(NOT(IndexTbl[[#This Row],[Dewey Number]])," "&amp;IndexTbl[[#This Row],[Class]],""))</f>
        <v>J INTL-TAG</v>
      </c>
      <c r="F125" s="19" t="s">
        <v>310</v>
      </c>
      <c r="G125" s="19">
        <v>999.99</v>
      </c>
      <c r="H125" s="19" t="s">
        <v>251</v>
      </c>
      <c r="I125" s="18"/>
      <c r="J125" s="18" t="s">
        <v>316</v>
      </c>
      <c r="K125" s="4" t="s">
        <v>332</v>
      </c>
      <c r="M125" s="6"/>
      <c r="N125" s="6"/>
    </row>
    <row r="126" spans="1:14" ht="24.75" customHeight="1" thickTop="1" thickBot="1" x14ac:dyDescent="0.35">
      <c r="A126" s="15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6" s="16" t="s">
        <v>305</v>
      </c>
      <c r="D126" s="16" t="b">
        <f>ISNUMBER(IndexTbl[[#This Row],[Class]])</f>
        <v>0</v>
      </c>
      <c r="E126" s="17" t="str">
        <f>TRIM(IndexTbl[[#This Row],[Prefix]]&amp;IF(NOT(IndexTbl[[#This Row],[Dewey Number]])," "&amp;IndexTbl[[#This Row],[Class]],""))</f>
        <v>J INTL-TAG BIO</v>
      </c>
      <c r="F126" s="19" t="s">
        <v>310</v>
      </c>
      <c r="G126" s="19" t="s">
        <v>58</v>
      </c>
      <c r="H126" s="19" t="s">
        <v>265</v>
      </c>
      <c r="I126" s="18"/>
      <c r="J126" s="18" t="s">
        <v>317</v>
      </c>
      <c r="K126" s="4" t="s">
        <v>332</v>
      </c>
      <c r="M126" s="6"/>
      <c r="N126" s="6"/>
    </row>
    <row r="127" spans="1:14" ht="24.75" customHeight="1" thickTop="1" thickBot="1" x14ac:dyDescent="0.35">
      <c r="A127" s="15">
        <f>COUNTIF(IndexTbl[unique],IndexTbl[[#This Row],[unique]])</f>
        <v>1</v>
      </c>
      <c r="B12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7" s="16" t="s">
        <v>305</v>
      </c>
      <c r="D127" s="16" t="b">
        <f>ISNUMBER(IndexTbl[[#This Row],[Class]])</f>
        <v>0</v>
      </c>
      <c r="E127" s="17" t="str">
        <f>TRIM(IndexTbl[[#This Row],[Prefix]]&amp;IF(NOT(IndexTbl[[#This Row],[Dewey Number]])," "&amp;IndexTbl[[#This Row],[Class]],""))</f>
        <v>INTL-TAG FIC</v>
      </c>
      <c r="F127" s="19" t="s">
        <v>311</v>
      </c>
      <c r="G127" s="19" t="s">
        <v>182</v>
      </c>
      <c r="H127" s="19" t="s">
        <v>267</v>
      </c>
      <c r="I127" s="18"/>
      <c r="J127" s="18" t="s">
        <v>318</v>
      </c>
      <c r="K127" s="4" t="s">
        <v>332</v>
      </c>
      <c r="M127" s="6"/>
      <c r="N127" s="6"/>
    </row>
    <row r="128" spans="1:14" ht="24.75" customHeight="1" thickTop="1" thickBot="1" x14ac:dyDescent="0.35">
      <c r="A128" s="15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8" s="16" t="s">
        <v>305</v>
      </c>
      <c r="D128" s="16" t="b">
        <f>ISNUMBER(IndexTbl[[#This Row],[Class]])</f>
        <v>1</v>
      </c>
      <c r="E128" s="17" t="str">
        <f>TRIM(IndexTbl[[#This Row],[Prefix]]&amp;IF(NOT(IndexTbl[[#This Row],[Dewey Number]])," "&amp;IndexTbl[[#This Row],[Class]],""))</f>
        <v>INTL-TAG</v>
      </c>
      <c r="F128" s="19" t="s">
        <v>311</v>
      </c>
      <c r="G128" s="19">
        <v>999.99</v>
      </c>
      <c r="H128" s="19" t="s">
        <v>268</v>
      </c>
      <c r="I128" s="18"/>
      <c r="J128" s="18" t="s">
        <v>319</v>
      </c>
      <c r="K128" s="4" t="s">
        <v>332</v>
      </c>
      <c r="M128" s="6"/>
      <c r="N128" s="6"/>
    </row>
    <row r="129" spans="1:14" ht="24.75" customHeight="1" thickTop="1" thickBot="1" x14ac:dyDescent="0.35">
      <c r="A129" s="15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9" s="16" t="s">
        <v>305</v>
      </c>
      <c r="D129" s="16" t="b">
        <f>ISNUMBER(IndexTbl[[#This Row],[Class]])</f>
        <v>0</v>
      </c>
      <c r="E129" s="17" t="str">
        <f>TRIM(IndexTbl[[#This Row],[Prefix]]&amp;IF(NOT(IndexTbl[[#This Row],[Dewey Number]])," "&amp;IndexTbl[[#This Row],[Class]],""))</f>
        <v>INTL-TAG BIO</v>
      </c>
      <c r="F129" s="19" t="s">
        <v>311</v>
      </c>
      <c r="G129" s="19" t="s">
        <v>58</v>
      </c>
      <c r="H129" s="19" t="s">
        <v>265</v>
      </c>
      <c r="I129" s="18"/>
      <c r="J129" s="18" t="s">
        <v>323</v>
      </c>
      <c r="K129" s="4" t="s">
        <v>332</v>
      </c>
      <c r="M129" s="6"/>
      <c r="N129" s="6"/>
    </row>
    <row r="130" spans="1:14" ht="24.75" customHeight="1" thickTop="1" thickBot="1" x14ac:dyDescent="0.35">
      <c r="A130" s="15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30" s="16" t="s">
        <v>305</v>
      </c>
      <c r="D130" s="16" t="b">
        <f>ISNUMBER(IndexTbl[[#This Row],[Class]])</f>
        <v>0</v>
      </c>
      <c r="E130" s="17" t="str">
        <f>TRIM(IndexTbl[[#This Row],[Prefix]]&amp;IF(NOT(IndexTbl[[#This Row],[Dewey Number]])," "&amp;IndexTbl[[#This Row],[Class]],""))</f>
        <v>TEEN INTL-TAG</v>
      </c>
      <c r="F130" s="19" t="s">
        <v>312</v>
      </c>
      <c r="G130" s="19"/>
      <c r="H130" s="19" t="s">
        <v>278</v>
      </c>
      <c r="I130" s="18"/>
      <c r="J130" s="18" t="s">
        <v>322</v>
      </c>
      <c r="K130" s="4" t="s">
        <v>332</v>
      </c>
      <c r="M130" s="6"/>
      <c r="N130" s="6"/>
    </row>
    <row r="131" spans="1:14" ht="24.75" customHeight="1" thickTop="1" thickBot="1" x14ac:dyDescent="0.35">
      <c r="A131" s="15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31" s="16" t="s">
        <v>305</v>
      </c>
      <c r="D131" s="16" t="b">
        <f>ISNUMBER(IndexTbl[[#This Row],[Class]])</f>
        <v>1</v>
      </c>
      <c r="E131" s="17" t="str">
        <f>TRIM(IndexTbl[[#This Row],[Prefix]]&amp;IF(NOT(IndexTbl[[#This Row],[Dewey Number]])," "&amp;IndexTbl[[#This Row],[Class]],""))</f>
        <v>TEEN INTL-TAG</v>
      </c>
      <c r="F131" s="19" t="s">
        <v>312</v>
      </c>
      <c r="G131" s="19">
        <v>999.99</v>
      </c>
      <c r="H131" s="19" t="s">
        <v>279</v>
      </c>
      <c r="I131" s="18"/>
      <c r="J131" s="18" t="s">
        <v>321</v>
      </c>
      <c r="K131" s="4" t="s">
        <v>332</v>
      </c>
      <c r="M131" s="6"/>
      <c r="N131" s="6"/>
    </row>
    <row r="132" spans="1:14" ht="24.75" customHeight="1" thickTop="1" thickBot="1" x14ac:dyDescent="0.35">
      <c r="A132" s="15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32" s="16" t="s">
        <v>305</v>
      </c>
      <c r="D132" s="16" t="b">
        <f>ISNUMBER(IndexTbl[[#This Row],[Class]])</f>
        <v>0</v>
      </c>
      <c r="E132" s="17" t="str">
        <f>TRIM(IndexTbl[[#This Row],[Prefix]]&amp;IF(NOT(IndexTbl[[#This Row],[Dewey Number]])," "&amp;IndexTbl[[#This Row],[Class]],""))</f>
        <v>TEEN INTL-TAG BIO</v>
      </c>
      <c r="F132" s="19" t="s">
        <v>312</v>
      </c>
      <c r="G132" s="19" t="s">
        <v>58</v>
      </c>
      <c r="H132" s="19" t="s">
        <v>265</v>
      </c>
      <c r="I132" s="18"/>
      <c r="J132" s="18" t="s">
        <v>320</v>
      </c>
      <c r="K132" s="4" t="s">
        <v>332</v>
      </c>
      <c r="M132" s="6"/>
      <c r="N132" s="6"/>
    </row>
    <row r="133" spans="1:14" ht="24.75" customHeight="1" thickTop="1" thickBot="1" x14ac:dyDescent="0.35">
      <c r="A133" s="15">
        <f>COUNTIF(IndexTbl[unique],IndexTbl[[#This Row],[unique]])</f>
        <v>1</v>
      </c>
      <c r="B13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33" s="18" t="s">
        <v>34</v>
      </c>
      <c r="D133" s="18" t="b">
        <f>ISNUMBER(IndexTbl[[#This Row],[Class]])</f>
        <v>0</v>
      </c>
      <c r="E133" s="17" t="str">
        <f>TRIM(IndexTbl[[#This Row],[Prefix]]&amp;IF(NOT(IndexTbl[[#This Row],[Dewey Number]])," "&amp;IndexTbl[[#This Row],[Class]],""))</f>
        <v>E INTL-VIE</v>
      </c>
      <c r="F133" s="19" t="s">
        <v>75</v>
      </c>
      <c r="G133" s="19"/>
      <c r="H133" s="19" t="s">
        <v>256</v>
      </c>
      <c r="I133" s="18"/>
      <c r="J133" s="18" t="s">
        <v>74</v>
      </c>
      <c r="K133" s="4" t="s">
        <v>332</v>
      </c>
      <c r="M133" s="6"/>
      <c r="N133" s="6"/>
    </row>
    <row r="134" spans="1:14" ht="24.75" customHeight="1" thickTop="1" thickBot="1" x14ac:dyDescent="0.35">
      <c r="A134" s="15">
        <f>COUNTIF(IndexTbl[unique],IndexTbl[[#This Row],[unique]])</f>
        <v>1</v>
      </c>
      <c r="B13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34" s="18" t="s">
        <v>34</v>
      </c>
      <c r="D134" s="18" t="b">
        <f>ISNUMBER(IndexTbl[[#This Row],[Class]])</f>
        <v>1</v>
      </c>
      <c r="E134" s="17" t="str">
        <f>TRIM(IndexTbl[[#This Row],[Prefix]]&amp;IF(NOT(IndexTbl[[#This Row],[Dewey Number]])," "&amp;IndexTbl[[#This Row],[Class]],""))</f>
        <v>E INTL-VIE</v>
      </c>
      <c r="F134" s="19" t="s">
        <v>85</v>
      </c>
      <c r="G134" s="19">
        <v>999.99</v>
      </c>
      <c r="H134" s="19" t="s">
        <v>251</v>
      </c>
      <c r="I134" s="18"/>
      <c r="J134" s="18" t="s">
        <v>84</v>
      </c>
      <c r="K134" s="4" t="s">
        <v>332</v>
      </c>
      <c r="M134" s="6"/>
      <c r="N134" s="6"/>
    </row>
    <row r="135" spans="1:14" ht="24.75" customHeight="1" thickTop="1" thickBot="1" x14ac:dyDescent="0.35">
      <c r="A135" s="15">
        <f>COUNTIF(IndexTbl[unique],IndexTbl[[#This Row],[unique]])</f>
        <v>1</v>
      </c>
      <c r="B13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5" s="18" t="s">
        <v>34</v>
      </c>
      <c r="D135" s="18" t="b">
        <f>ISNUMBER(IndexTbl[[#This Row],[Class]])</f>
        <v>0</v>
      </c>
      <c r="E135" s="17" t="str">
        <f>TRIM(IndexTbl[[#This Row],[Prefix]]&amp;IF(NOT(IndexTbl[[#This Row],[Dewey Number]])," "&amp;IndexTbl[[#This Row],[Class]],""))</f>
        <v>J INTL-VIE</v>
      </c>
      <c r="F135" s="19" t="s">
        <v>115</v>
      </c>
      <c r="G135" s="19"/>
      <c r="H135" s="19" t="s">
        <v>257</v>
      </c>
      <c r="I135" s="18"/>
      <c r="J135" s="18" t="s">
        <v>114</v>
      </c>
      <c r="K135" s="4" t="s">
        <v>332</v>
      </c>
      <c r="M135" s="6"/>
      <c r="N135" s="6"/>
    </row>
    <row r="136" spans="1:14" ht="24.75" customHeight="1" thickTop="1" thickBot="1" x14ac:dyDescent="0.35">
      <c r="A136" s="15">
        <f>COUNTIF(IndexTbl[unique],IndexTbl[[#This Row],[unique]])</f>
        <v>1</v>
      </c>
      <c r="B13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6" s="18" t="s">
        <v>34</v>
      </c>
      <c r="D136" s="18" t="b">
        <f>ISNUMBER(IndexTbl[[#This Row],[Class]])</f>
        <v>1</v>
      </c>
      <c r="E136" s="17" t="str">
        <f>TRIM(IndexTbl[[#This Row],[Prefix]]&amp;IF(NOT(IndexTbl[[#This Row],[Dewey Number]])," "&amp;IndexTbl[[#This Row],[Class]],""))</f>
        <v>J INTL-VIE</v>
      </c>
      <c r="F136" s="19" t="s">
        <v>115</v>
      </c>
      <c r="G136" s="19">
        <v>999.99</v>
      </c>
      <c r="H136" s="19" t="s">
        <v>251</v>
      </c>
      <c r="I136" s="18"/>
      <c r="J136" s="18" t="s">
        <v>121</v>
      </c>
      <c r="K136" s="4" t="s">
        <v>332</v>
      </c>
      <c r="M136" s="6"/>
      <c r="N136" s="6"/>
    </row>
    <row r="137" spans="1:14" ht="24.75" customHeight="1" thickTop="1" thickBot="1" x14ac:dyDescent="0.35">
      <c r="A137" s="15">
        <f>COUNTIF(IndexTbl[unique],IndexTbl[[#This Row],[unique]])</f>
        <v>1</v>
      </c>
      <c r="B13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7" s="18" t="s">
        <v>34</v>
      </c>
      <c r="D137" s="18" t="b">
        <f>ISNUMBER(IndexTbl[[#This Row],[Class]])</f>
        <v>0</v>
      </c>
      <c r="E137" s="17" t="str">
        <f>TRIM(IndexTbl[[#This Row],[Prefix]]&amp;IF(NOT(IndexTbl[[#This Row],[Dewey Number]])," "&amp;IndexTbl[[#This Row],[Class]],""))</f>
        <v>J INTL-VIE BIO</v>
      </c>
      <c r="F137" s="19" t="s">
        <v>115</v>
      </c>
      <c r="G137" s="19" t="s">
        <v>58</v>
      </c>
      <c r="H137" s="19" t="s">
        <v>265</v>
      </c>
      <c r="I137" s="18"/>
      <c r="J137" s="18" t="s">
        <v>127</v>
      </c>
      <c r="K137" s="4" t="s">
        <v>332</v>
      </c>
      <c r="M137" s="6"/>
      <c r="N137" s="6"/>
    </row>
    <row r="138" spans="1:14" ht="24.75" customHeight="1" thickTop="1" thickBot="1" x14ac:dyDescent="0.35">
      <c r="A138" s="15">
        <f>COUNTIF(IndexTbl[unique],IndexTbl[[#This Row],[unique]])</f>
        <v>1</v>
      </c>
      <c r="B13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8" s="18" t="s">
        <v>34</v>
      </c>
      <c r="D138" s="18" t="b">
        <f>ISNUMBER(IndexTbl[[#This Row],[Class]])</f>
        <v>0</v>
      </c>
      <c r="E138" s="17" t="str">
        <f>TRIM(IndexTbl[[#This Row],[Prefix]]&amp;IF(NOT(IndexTbl[[#This Row],[Dewey Number]])," "&amp;IndexTbl[[#This Row],[Class]],""))</f>
        <v>INTL-VIE FIC</v>
      </c>
      <c r="F138" s="19" t="s">
        <v>192</v>
      </c>
      <c r="G138" s="19" t="s">
        <v>182</v>
      </c>
      <c r="H138" s="19" t="s">
        <v>267</v>
      </c>
      <c r="I138" s="18"/>
      <c r="J138" s="18" t="s">
        <v>191</v>
      </c>
      <c r="K138" s="4" t="s">
        <v>332</v>
      </c>
      <c r="M138" s="6"/>
      <c r="N138" s="6"/>
    </row>
    <row r="139" spans="1:14" ht="24.75" customHeight="1" thickTop="1" thickBot="1" x14ac:dyDescent="0.35">
      <c r="A139" s="15">
        <f>COUNTIF(IndexTbl[unique],IndexTbl[[#This Row],[unique]])</f>
        <v>1</v>
      </c>
      <c r="B13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9" s="18" t="s">
        <v>34</v>
      </c>
      <c r="D139" s="18" t="b">
        <f>ISNUMBER(IndexTbl[[#This Row],[Class]])</f>
        <v>1</v>
      </c>
      <c r="E139" s="17" t="str">
        <f>TRIM(IndexTbl[[#This Row],[Prefix]]&amp;IF(NOT(IndexTbl[[#This Row],[Dewey Number]])," "&amp;IndexTbl[[#This Row],[Class]],""))</f>
        <v>INTL-VIE</v>
      </c>
      <c r="F139" s="19" t="s">
        <v>192</v>
      </c>
      <c r="G139" s="19">
        <v>999.99</v>
      </c>
      <c r="H139" s="19" t="s">
        <v>268</v>
      </c>
      <c r="I139" s="18"/>
      <c r="J139" s="18" t="s">
        <v>198</v>
      </c>
      <c r="K139" s="4" t="s">
        <v>332</v>
      </c>
      <c r="M139" s="6"/>
      <c r="N139" s="6"/>
    </row>
    <row r="140" spans="1:14" ht="24.75" customHeight="1" thickTop="1" thickBot="1" x14ac:dyDescent="0.35">
      <c r="A140" s="15">
        <f>COUNTIF(IndexTbl[unique],IndexTbl[[#This Row],[unique]])</f>
        <v>1</v>
      </c>
      <c r="B14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40" s="18" t="s">
        <v>34</v>
      </c>
      <c r="D140" s="18" t="b">
        <f>ISNUMBER(IndexTbl[[#This Row],[Class]])</f>
        <v>0</v>
      </c>
      <c r="E140" s="17" t="str">
        <f>TRIM(IndexTbl[[#This Row],[Prefix]]&amp;IF(NOT(IndexTbl[[#This Row],[Dewey Number]])," "&amp;IndexTbl[[#This Row],[Class]],""))</f>
        <v>INTL-VIE BIO</v>
      </c>
      <c r="F140" s="19" t="s">
        <v>192</v>
      </c>
      <c r="G140" s="19" t="s">
        <v>58</v>
      </c>
      <c r="H140" s="19" t="s">
        <v>265</v>
      </c>
      <c r="I140" s="18"/>
      <c r="J140" s="18" t="s">
        <v>204</v>
      </c>
      <c r="K140" s="4" t="s">
        <v>332</v>
      </c>
      <c r="M140" s="6"/>
      <c r="N140" s="6"/>
    </row>
    <row r="141" spans="1:14" ht="24.75" customHeight="1" thickTop="1" thickBot="1" x14ac:dyDescent="0.35">
      <c r="A141" s="15">
        <f>COUNTIF(IndexTbl[unique],IndexTbl[[#This Row],[unique]])</f>
        <v>1</v>
      </c>
      <c r="B14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41" s="18" t="s">
        <v>34</v>
      </c>
      <c r="D141" s="18" t="b">
        <f>ISNUMBER(IndexTbl[[#This Row],[Class]])</f>
        <v>0</v>
      </c>
      <c r="E141" s="17" t="str">
        <f>TRIM(IndexTbl[[#This Row],[Prefix]]&amp;IF(NOT(IndexTbl[[#This Row],[Dewey Number]])," "&amp;IndexTbl[[#This Row],[Class]],""))</f>
        <v>TEEN INTL-VIE</v>
      </c>
      <c r="F141" s="19" t="s">
        <v>228</v>
      </c>
      <c r="G141" s="19"/>
      <c r="H141" s="19" t="s">
        <v>278</v>
      </c>
      <c r="I141" s="18"/>
      <c r="J141" s="18" t="s">
        <v>227</v>
      </c>
      <c r="K141" s="4" t="s">
        <v>332</v>
      </c>
      <c r="M141" s="6"/>
      <c r="N141" s="6"/>
    </row>
    <row r="142" spans="1:14" ht="24.75" customHeight="1" thickTop="1" thickBot="1" x14ac:dyDescent="0.35">
      <c r="A142" s="15">
        <f>COUNTIF(IndexTbl[unique],IndexTbl[[#This Row],[unique]])</f>
        <v>1</v>
      </c>
      <c r="B14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42" s="18" t="s">
        <v>34</v>
      </c>
      <c r="D142" s="18" t="b">
        <f>ISNUMBER(IndexTbl[[#This Row],[Class]])</f>
        <v>1</v>
      </c>
      <c r="E142" s="17" t="str">
        <f>TRIM(IndexTbl[[#This Row],[Prefix]]&amp;IF(NOT(IndexTbl[[#This Row],[Dewey Number]])," "&amp;IndexTbl[[#This Row],[Class]],""))</f>
        <v>TEEN INTL-VIE</v>
      </c>
      <c r="F142" s="19" t="s">
        <v>228</v>
      </c>
      <c r="G142" s="19">
        <v>999.99</v>
      </c>
      <c r="H142" s="19" t="s">
        <v>279</v>
      </c>
      <c r="I142" s="18"/>
      <c r="J142" s="18" t="s">
        <v>234</v>
      </c>
      <c r="K142" s="4" t="s">
        <v>332</v>
      </c>
      <c r="M142" s="6"/>
      <c r="N142" s="6"/>
    </row>
    <row r="143" spans="1:14" ht="24.75" customHeight="1" thickTop="1" thickBot="1" x14ac:dyDescent="0.35">
      <c r="A143" s="15">
        <f>COUNTIF(IndexTbl[unique],IndexTbl[[#This Row],[unique]])</f>
        <v>1</v>
      </c>
      <c r="B14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43" s="18" t="s">
        <v>34</v>
      </c>
      <c r="D143" s="18" t="b">
        <f>ISNUMBER(IndexTbl[[#This Row],[Class]])</f>
        <v>0</v>
      </c>
      <c r="E143" s="17" t="str">
        <f>TRIM(IndexTbl[[#This Row],[Prefix]]&amp;IF(NOT(IndexTbl[[#This Row],[Dewey Number]])," "&amp;IndexTbl[[#This Row],[Class]],""))</f>
        <v>TEEN INTL-VIE BIO</v>
      </c>
      <c r="F143" s="19" t="s">
        <v>228</v>
      </c>
      <c r="G143" s="19" t="s">
        <v>58</v>
      </c>
      <c r="H143" s="19" t="s">
        <v>265</v>
      </c>
      <c r="I143" s="18"/>
      <c r="J143" s="18" t="s">
        <v>241</v>
      </c>
      <c r="K143" s="4" t="s">
        <v>332</v>
      </c>
      <c r="M143" s="6"/>
      <c r="N143" s="6"/>
    </row>
    <row r="144" spans="1:14" ht="24.75" customHeight="1" thickTop="1" thickBot="1" x14ac:dyDescent="0.35">
      <c r="A144" s="15">
        <f>COUNTIF(IndexTbl[unique],IndexTbl[[#This Row],[unique]])</f>
        <v>1</v>
      </c>
      <c r="B14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44" s="18" t="s">
        <v>4</v>
      </c>
      <c r="D144" s="18" t="b">
        <f>ISNUMBER(IndexTbl[[#This Row],[Class]])</f>
        <v>0</v>
      </c>
      <c r="E144" s="17" t="str">
        <f>TRIM(IndexTbl[[#This Row],[Prefix]]&amp;IF(NOT(IndexTbl[[#This Row],[Dewey Number]])," "&amp;IndexTbl[[#This Row],[Class]],""))</f>
        <v>DVD</v>
      </c>
      <c r="F144" s="19" t="s">
        <v>51</v>
      </c>
      <c r="G144" s="19"/>
      <c r="H144" s="19" t="s">
        <v>272</v>
      </c>
      <c r="I144" s="18"/>
      <c r="J144" s="18" t="s">
        <v>140</v>
      </c>
      <c r="K144" s="4" t="s">
        <v>332</v>
      </c>
      <c r="M144" s="6"/>
      <c r="N144" s="6"/>
    </row>
    <row r="145" spans="1:14" ht="24.75" customHeight="1" thickTop="1" thickBot="1" x14ac:dyDescent="0.35">
      <c r="A145" s="15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5" s="16" t="s">
        <v>301</v>
      </c>
      <c r="D145" s="16" t="b">
        <f>ISNUMBER(IndexTbl[[#This Row],[Class]])</f>
        <v>0</v>
      </c>
      <c r="E145" s="17" t="str">
        <f>TRIM(IndexTbl[[#This Row],[Prefix]]&amp;IF(NOT(IndexTbl[[#This Row],[Dewey Number]])," "&amp;IndexTbl[[#This Row],[Class]],""))</f>
        <v>DVD</v>
      </c>
      <c r="F145" s="15" t="s">
        <v>51</v>
      </c>
      <c r="G145" s="19"/>
      <c r="H145" s="19" t="s">
        <v>272</v>
      </c>
      <c r="I145" s="18"/>
      <c r="J145" s="18" t="s">
        <v>140</v>
      </c>
      <c r="K145" s="4" t="s">
        <v>332</v>
      </c>
      <c r="M145" s="6"/>
      <c r="N145" s="6"/>
    </row>
    <row r="146" spans="1:14" ht="24.75" customHeight="1" thickTop="1" thickBot="1" x14ac:dyDescent="0.35">
      <c r="A146" s="15">
        <f>COUNTIF(IndexTbl[unique],IndexTbl[[#This Row],[unique]])</f>
        <v>1</v>
      </c>
      <c r="B14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6" s="18" t="s">
        <v>5</v>
      </c>
      <c r="D146" s="18" t="b">
        <f>ISNUMBER(IndexTbl[[#This Row],[Class]])</f>
        <v>0</v>
      </c>
      <c r="E146" s="17" t="str">
        <f>TRIM(IndexTbl[[#This Row],[Prefix]]&amp;IF(NOT(IndexTbl[[#This Row],[Dewey Number]])," "&amp;IndexTbl[[#This Row],[Class]],""))</f>
        <v>DVD</v>
      </c>
      <c r="F146" s="19" t="s">
        <v>51</v>
      </c>
      <c r="G146" s="19"/>
      <c r="H146" s="19" t="s">
        <v>272</v>
      </c>
      <c r="I146" s="18"/>
      <c r="J146" s="18" t="s">
        <v>140</v>
      </c>
      <c r="K146" s="4" t="s">
        <v>332</v>
      </c>
      <c r="M146" s="6"/>
      <c r="N146" s="6"/>
    </row>
    <row r="147" spans="1:14" ht="24.75" customHeight="1" thickTop="1" thickBot="1" x14ac:dyDescent="0.35">
      <c r="A147" s="15">
        <f>COUNTIF(IndexTbl[unique],IndexTbl[[#This Row],[unique]])</f>
        <v>1</v>
      </c>
      <c r="B147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7" s="18" t="s">
        <v>7</v>
      </c>
      <c r="D147" s="18" t="b">
        <f>ISNUMBER(IndexTbl[[#This Row],[Class]])</f>
        <v>0</v>
      </c>
      <c r="E147" s="17" t="str">
        <f>TRIM(IndexTbl[[#This Row],[Prefix]]&amp;IF(NOT(IndexTbl[[#This Row],[Dewey Number]])," "&amp;IndexTbl[[#This Row],[Class]],""))</f>
        <v>DVD</v>
      </c>
      <c r="F147" s="19" t="s">
        <v>51</v>
      </c>
      <c r="G147" s="19"/>
      <c r="H147" s="19" t="s">
        <v>272</v>
      </c>
      <c r="I147" s="18"/>
      <c r="J147" s="18" t="s">
        <v>140</v>
      </c>
      <c r="K147" s="4" t="s">
        <v>332</v>
      </c>
      <c r="M147" s="6"/>
      <c r="N147" s="6"/>
    </row>
    <row r="148" spans="1:14" ht="24.75" customHeight="1" thickTop="1" thickBot="1" x14ac:dyDescent="0.35">
      <c r="A148" s="15">
        <f>COUNTIF(IndexTbl[unique],IndexTbl[[#This Row],[unique]])</f>
        <v>1</v>
      </c>
      <c r="B148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8" s="18" t="s">
        <v>8</v>
      </c>
      <c r="D148" s="18" t="b">
        <f>ISNUMBER(IndexTbl[[#This Row],[Class]])</f>
        <v>0</v>
      </c>
      <c r="E148" s="17" t="str">
        <f>TRIM(IndexTbl[[#This Row],[Prefix]]&amp;IF(NOT(IndexTbl[[#This Row],[Dewey Number]])," "&amp;IndexTbl[[#This Row],[Class]],""))</f>
        <v>DVD</v>
      </c>
      <c r="F148" s="19" t="s">
        <v>51</v>
      </c>
      <c r="G148" s="19"/>
      <c r="H148" s="19" t="s">
        <v>272</v>
      </c>
      <c r="I148" s="18"/>
      <c r="J148" s="18" t="s">
        <v>140</v>
      </c>
      <c r="K148" s="4" t="s">
        <v>332</v>
      </c>
      <c r="M148" s="6"/>
      <c r="N148" s="6"/>
    </row>
    <row r="149" spans="1:14" ht="24.75" customHeight="1" thickTop="1" thickBot="1" x14ac:dyDescent="0.35">
      <c r="A149" s="15">
        <f>COUNTIF(IndexTbl[unique],IndexTbl[[#This Row],[unique]])</f>
        <v>1</v>
      </c>
      <c r="B149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9" s="18" t="s">
        <v>9</v>
      </c>
      <c r="D149" s="18" t="b">
        <f>ISNUMBER(IndexTbl[[#This Row],[Class]])</f>
        <v>0</v>
      </c>
      <c r="E149" s="17" t="str">
        <f>TRIM(IndexTbl[[#This Row],[Prefix]]&amp;IF(NOT(IndexTbl[[#This Row],[Dewey Number]])," "&amp;IndexTbl[[#This Row],[Class]],""))</f>
        <v>DVD</v>
      </c>
      <c r="F149" s="19" t="s">
        <v>51</v>
      </c>
      <c r="G149" s="19"/>
      <c r="H149" s="19" t="s">
        <v>272</v>
      </c>
      <c r="I149" s="18"/>
      <c r="J149" s="18" t="s">
        <v>140</v>
      </c>
      <c r="K149" s="4" t="s">
        <v>332</v>
      </c>
      <c r="M149" s="6"/>
      <c r="N149" s="6"/>
    </row>
    <row r="150" spans="1:14" ht="24.75" customHeight="1" thickTop="1" thickBot="1" x14ac:dyDescent="0.35">
      <c r="A150" s="15">
        <f>COUNTIF(IndexTbl[unique],IndexTbl[[#This Row],[unique]])</f>
        <v>1</v>
      </c>
      <c r="B150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50" s="18" t="s">
        <v>10</v>
      </c>
      <c r="D150" s="18" t="b">
        <f>ISNUMBER(IndexTbl[[#This Row],[Class]])</f>
        <v>0</v>
      </c>
      <c r="E150" s="17" t="str">
        <f>TRIM(IndexTbl[[#This Row],[Prefix]]&amp;IF(NOT(IndexTbl[[#This Row],[Dewey Number]])," "&amp;IndexTbl[[#This Row],[Class]],""))</f>
        <v>DVD</v>
      </c>
      <c r="F150" s="19" t="s">
        <v>51</v>
      </c>
      <c r="G150" s="19"/>
      <c r="H150" s="19" t="s">
        <v>272</v>
      </c>
      <c r="I150" s="18"/>
      <c r="J150" s="18" t="s">
        <v>140</v>
      </c>
      <c r="K150" s="4" t="s">
        <v>332</v>
      </c>
      <c r="M150" s="6"/>
      <c r="N150" s="6"/>
    </row>
    <row r="151" spans="1:14" ht="24.75" customHeight="1" thickTop="1" thickBot="1" x14ac:dyDescent="0.35">
      <c r="A151" s="15">
        <f>COUNTIF(IndexTbl[unique],IndexTbl[[#This Row],[unique]])</f>
        <v>1</v>
      </c>
      <c r="B151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51" s="18" t="s">
        <v>11</v>
      </c>
      <c r="D151" s="18" t="b">
        <f>ISNUMBER(IndexTbl[[#This Row],[Class]])</f>
        <v>0</v>
      </c>
      <c r="E151" s="17" t="str">
        <f>TRIM(IndexTbl[[#This Row],[Prefix]]&amp;IF(NOT(IndexTbl[[#This Row],[Dewey Number]])," "&amp;IndexTbl[[#This Row],[Class]],""))</f>
        <v>DVD</v>
      </c>
      <c r="F151" s="19" t="s">
        <v>51</v>
      </c>
      <c r="G151" s="19"/>
      <c r="H151" s="19" t="s">
        <v>272</v>
      </c>
      <c r="I151" s="18"/>
      <c r="J151" s="18" t="s">
        <v>140</v>
      </c>
      <c r="K151" s="4" t="s">
        <v>332</v>
      </c>
      <c r="M151" s="6"/>
      <c r="N151" s="6"/>
    </row>
    <row r="152" spans="1:14" ht="24.75" customHeight="1" thickTop="1" thickBot="1" x14ac:dyDescent="0.35">
      <c r="A152" s="15">
        <f>COUNTIF(IndexTbl[unique],IndexTbl[[#This Row],[unique]])</f>
        <v>1</v>
      </c>
      <c r="B152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52" s="18" t="s">
        <v>6</v>
      </c>
      <c r="D152" s="18" t="b">
        <f>ISNUMBER(IndexTbl[[#This Row],[Class]])</f>
        <v>0</v>
      </c>
      <c r="E152" s="17" t="str">
        <f>TRIM(IndexTbl[[#This Row],[Prefix]]&amp;IF(NOT(IndexTbl[[#This Row],[Dewey Number]])," "&amp;IndexTbl[[#This Row],[Class]],""))</f>
        <v>DVD</v>
      </c>
      <c r="F152" s="19" t="s">
        <v>51</v>
      </c>
      <c r="G152" s="19"/>
      <c r="H152" s="19" t="s">
        <v>272</v>
      </c>
      <c r="I152" s="18"/>
      <c r="J152" s="18" t="s">
        <v>140</v>
      </c>
      <c r="K152" s="4" t="s">
        <v>332</v>
      </c>
      <c r="M152" s="6"/>
      <c r="N152" s="6"/>
    </row>
    <row r="153" spans="1:14" ht="24.75" customHeight="1" thickTop="1" thickBot="1" x14ac:dyDescent="0.35">
      <c r="A153" s="15">
        <f>COUNTIF(IndexTbl[unique],IndexTbl[[#This Row],[unique]])</f>
        <v>1</v>
      </c>
      <c r="B153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53" s="18" t="s">
        <v>12</v>
      </c>
      <c r="D153" s="18" t="b">
        <f>ISNUMBER(IndexTbl[[#This Row],[Class]])</f>
        <v>0</v>
      </c>
      <c r="E153" s="17" t="str">
        <f>TRIM(IndexTbl[[#This Row],[Prefix]]&amp;IF(NOT(IndexTbl[[#This Row],[Dewey Number]])," "&amp;IndexTbl[[#This Row],[Class]],""))</f>
        <v>DVD</v>
      </c>
      <c r="F153" s="19" t="s">
        <v>51</v>
      </c>
      <c r="G153" s="19"/>
      <c r="H153" s="19" t="s">
        <v>272</v>
      </c>
      <c r="I153" s="18"/>
      <c r="J153" s="18" t="s">
        <v>140</v>
      </c>
      <c r="K153" s="4" t="s">
        <v>332</v>
      </c>
      <c r="M153" s="6"/>
      <c r="N153" s="6"/>
    </row>
    <row r="154" spans="1:14" ht="24.75" customHeight="1" thickTop="1" thickBot="1" x14ac:dyDescent="0.35">
      <c r="A154" s="15">
        <f>COUNTIF(IndexTbl[unique],IndexTbl[[#This Row],[unique]])</f>
        <v>1</v>
      </c>
      <c r="B15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54" s="18" t="s">
        <v>13</v>
      </c>
      <c r="D154" s="18" t="b">
        <f>ISNUMBER(IndexTbl[[#This Row],[Class]])</f>
        <v>0</v>
      </c>
      <c r="E154" s="17" t="str">
        <f>TRIM(IndexTbl[[#This Row],[Prefix]]&amp;IF(NOT(IndexTbl[[#This Row],[Dewey Number]])," "&amp;IndexTbl[[#This Row],[Class]],""))</f>
        <v>DVD</v>
      </c>
      <c r="F154" s="19" t="s">
        <v>51</v>
      </c>
      <c r="G154" s="19"/>
      <c r="H154" s="19" t="s">
        <v>272</v>
      </c>
      <c r="I154" s="18"/>
      <c r="J154" s="18" t="s">
        <v>140</v>
      </c>
      <c r="K154" s="4" t="s">
        <v>332</v>
      </c>
      <c r="M154" s="6"/>
      <c r="N154" s="6"/>
    </row>
    <row r="155" spans="1:14" ht="24.75" customHeight="1" thickTop="1" thickBot="1" x14ac:dyDescent="0.35">
      <c r="A155" s="15">
        <f>COUNTIF(IndexTbl[unique],IndexTbl[[#This Row],[unique]])</f>
        <v>1</v>
      </c>
      <c r="B155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5" s="18" t="s">
        <v>14</v>
      </c>
      <c r="D155" s="18" t="b">
        <f>ISNUMBER(IndexTbl[[#This Row],[Class]])</f>
        <v>0</v>
      </c>
      <c r="E155" s="17" t="str">
        <f>TRIM(IndexTbl[[#This Row],[Prefix]]&amp;IF(NOT(IndexTbl[[#This Row],[Dewey Number]])," "&amp;IndexTbl[[#This Row],[Class]],""))</f>
        <v>DVD</v>
      </c>
      <c r="F155" s="19" t="s">
        <v>51</v>
      </c>
      <c r="G155" s="19"/>
      <c r="H155" s="19" t="s">
        <v>272</v>
      </c>
      <c r="I155" s="18"/>
      <c r="J155" s="18" t="s">
        <v>140</v>
      </c>
      <c r="K155" s="4" t="s">
        <v>332</v>
      </c>
      <c r="M155" s="6"/>
      <c r="N155" s="6"/>
    </row>
    <row r="156" spans="1:14" ht="24.75" customHeight="1" thickTop="1" thickBot="1" x14ac:dyDescent="0.35">
      <c r="A156" s="15">
        <f>COUNTIF(IndexTbl[unique],IndexTbl[[#This Row],[unique]])</f>
        <v>1</v>
      </c>
      <c r="B15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6" s="18" t="s">
        <v>15</v>
      </c>
      <c r="D156" s="18" t="b">
        <f>ISNUMBER(IndexTbl[[#This Row],[Class]])</f>
        <v>0</v>
      </c>
      <c r="E156" s="17" t="str">
        <f>TRIM(IndexTbl[[#This Row],[Prefix]]&amp;IF(NOT(IndexTbl[[#This Row],[Dewey Number]])," "&amp;IndexTbl[[#This Row],[Class]],""))</f>
        <v>DVD</v>
      </c>
      <c r="F156" s="19" t="s">
        <v>51</v>
      </c>
      <c r="G156" s="19"/>
      <c r="H156" s="19" t="s">
        <v>272</v>
      </c>
      <c r="I156" s="18"/>
      <c r="J156" s="18" t="s">
        <v>140</v>
      </c>
      <c r="K156" s="4" t="s">
        <v>332</v>
      </c>
      <c r="M156" s="6"/>
      <c r="N156" s="6"/>
    </row>
    <row r="157" spans="1:14" ht="24.75" customHeight="1" thickTop="1" thickBot="1" x14ac:dyDescent="0.35">
      <c r="A157" s="15">
        <f>COUNTIF(IndexTbl[unique],IndexTbl[[#This Row],[unique]])</f>
        <v>1</v>
      </c>
      <c r="B157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7" s="18" t="s">
        <v>16</v>
      </c>
      <c r="D157" s="18" t="b">
        <f>ISNUMBER(IndexTbl[[#This Row],[Class]])</f>
        <v>0</v>
      </c>
      <c r="E157" s="17" t="str">
        <f>TRIM(IndexTbl[[#This Row],[Prefix]]&amp;IF(NOT(IndexTbl[[#This Row],[Dewey Number]])," "&amp;IndexTbl[[#This Row],[Class]],""))</f>
        <v>DVD</v>
      </c>
      <c r="F157" s="19" t="s">
        <v>51</v>
      </c>
      <c r="G157" s="19"/>
      <c r="H157" s="19" t="s">
        <v>272</v>
      </c>
      <c r="I157" s="18"/>
      <c r="J157" s="18" t="s">
        <v>140</v>
      </c>
      <c r="K157" s="4" t="s">
        <v>332</v>
      </c>
      <c r="M157" s="6"/>
      <c r="N157" s="6"/>
    </row>
    <row r="158" spans="1:14" ht="24.75" customHeight="1" thickTop="1" thickBot="1" x14ac:dyDescent="0.35">
      <c r="A158" s="15">
        <f>COUNTIF(IndexTbl[unique],IndexTbl[[#This Row],[unique]])</f>
        <v>1</v>
      </c>
      <c r="B158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8" s="18" t="s">
        <v>17</v>
      </c>
      <c r="D158" s="18" t="b">
        <f>ISNUMBER(IndexTbl[[#This Row],[Class]])</f>
        <v>0</v>
      </c>
      <c r="E158" s="17" t="str">
        <f>TRIM(IndexTbl[[#This Row],[Prefix]]&amp;IF(NOT(IndexTbl[[#This Row],[Dewey Number]])," "&amp;IndexTbl[[#This Row],[Class]],""))</f>
        <v>DVD</v>
      </c>
      <c r="F158" s="19" t="s">
        <v>51</v>
      </c>
      <c r="G158" s="19"/>
      <c r="H158" s="19" t="s">
        <v>272</v>
      </c>
      <c r="I158" s="18"/>
      <c r="J158" s="18" t="s">
        <v>140</v>
      </c>
      <c r="K158" s="4" t="s">
        <v>332</v>
      </c>
      <c r="M158" s="6"/>
      <c r="N158" s="6"/>
    </row>
    <row r="159" spans="1:14" ht="24.75" customHeight="1" thickTop="1" thickBot="1" x14ac:dyDescent="0.35">
      <c r="A159" s="15">
        <f>COUNTIF(IndexTbl[unique],IndexTbl[[#This Row],[unique]])</f>
        <v>1</v>
      </c>
      <c r="B15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9" s="18" t="s">
        <v>35</v>
      </c>
      <c r="D159" s="18" t="b">
        <f>ISNUMBER(IndexTbl[[#This Row],[Class]])</f>
        <v>0</v>
      </c>
      <c r="E159" s="17" t="str">
        <f>TRIM(IndexTbl[[#This Row],[Prefix]]&amp;IF(NOT(IndexTbl[[#This Row],[Dewey Number]])," "&amp;IndexTbl[[#This Row],[Class]],""))</f>
        <v>CD A</v>
      </c>
      <c r="F159" s="19" t="s">
        <v>137</v>
      </c>
      <c r="G159" s="19" t="s">
        <v>148</v>
      </c>
      <c r="H159" s="19" t="s">
        <v>276</v>
      </c>
      <c r="I159" s="18"/>
      <c r="J159" s="18" t="s">
        <v>147</v>
      </c>
      <c r="K159" s="4" t="s">
        <v>332</v>
      </c>
      <c r="M159" s="6"/>
      <c r="N159" s="6"/>
    </row>
    <row r="160" spans="1:14" ht="24.75" customHeight="1" thickTop="1" thickBot="1" x14ac:dyDescent="0.35">
      <c r="A160" s="15">
        <f>COUNTIF(IndexTbl[unique],IndexTbl[[#This Row],[unique]])</f>
        <v>1</v>
      </c>
      <c r="B16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60" s="18" t="s">
        <v>35</v>
      </c>
      <c r="D160" s="18" t="b">
        <f>ISNUMBER(IndexTbl[[#This Row],[Class]])</f>
        <v>0</v>
      </c>
      <c r="E160" s="17" t="str">
        <f>TRIM(IndexTbl[[#This Row],[Prefix]]&amp;IF(NOT(IndexTbl[[#This Row],[Dewey Number]])," "&amp;IndexTbl[[#This Row],[Class]],""))</f>
        <v>CD B</v>
      </c>
      <c r="F160" s="19" t="s">
        <v>137</v>
      </c>
      <c r="G160" s="19" t="s">
        <v>149</v>
      </c>
      <c r="H160" s="19" t="s">
        <v>276</v>
      </c>
      <c r="I160" s="18"/>
      <c r="J160" s="18" t="s">
        <v>147</v>
      </c>
      <c r="K160" s="4" t="s">
        <v>332</v>
      </c>
      <c r="M160" s="6"/>
      <c r="N160" s="6"/>
    </row>
    <row r="161" spans="1:14" ht="24.75" customHeight="1" thickTop="1" thickBot="1" x14ac:dyDescent="0.35">
      <c r="A161" s="15">
        <f>COUNTIF(IndexTbl[unique],IndexTbl[[#This Row],[unique]])</f>
        <v>1</v>
      </c>
      <c r="B16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61" s="18" t="s">
        <v>35</v>
      </c>
      <c r="D161" s="18" t="b">
        <f>ISNUMBER(IndexTbl[[#This Row],[Class]])</f>
        <v>0</v>
      </c>
      <c r="E161" s="17" t="str">
        <f>TRIM(IndexTbl[[#This Row],[Prefix]]&amp;IF(NOT(IndexTbl[[#This Row],[Dewey Number]])," "&amp;IndexTbl[[#This Row],[Class]],""))</f>
        <v>CD C</v>
      </c>
      <c r="F161" s="19" t="s">
        <v>137</v>
      </c>
      <c r="G161" s="19" t="s">
        <v>150</v>
      </c>
      <c r="H161" s="19" t="s">
        <v>276</v>
      </c>
      <c r="I161" s="18"/>
      <c r="J161" s="18" t="s">
        <v>147</v>
      </c>
      <c r="K161" s="4" t="s">
        <v>332</v>
      </c>
      <c r="M161" s="6"/>
      <c r="N161" s="6"/>
    </row>
    <row r="162" spans="1:14" ht="24.75" customHeight="1" thickTop="1" thickBot="1" x14ac:dyDescent="0.35">
      <c r="A162" s="15">
        <f>COUNTIF(IndexTbl[unique],IndexTbl[[#This Row],[unique]])</f>
        <v>1</v>
      </c>
      <c r="B16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62" s="18" t="s">
        <v>35</v>
      </c>
      <c r="D162" s="18" t="b">
        <f>ISNUMBER(IndexTbl[[#This Row],[Class]])</f>
        <v>0</v>
      </c>
      <c r="E162" s="17" t="str">
        <f>TRIM(IndexTbl[[#This Row],[Prefix]]&amp;IF(NOT(IndexTbl[[#This Row],[Dewey Number]])," "&amp;IndexTbl[[#This Row],[Class]],""))</f>
        <v>CD D</v>
      </c>
      <c r="F162" s="19" t="s">
        <v>137</v>
      </c>
      <c r="G162" s="19" t="s">
        <v>151</v>
      </c>
      <c r="H162" s="19" t="s">
        <v>276</v>
      </c>
      <c r="I162" s="18"/>
      <c r="J162" s="18" t="s">
        <v>147</v>
      </c>
      <c r="K162" s="4" t="s">
        <v>332</v>
      </c>
      <c r="M162" s="6"/>
      <c r="N162" s="6"/>
    </row>
    <row r="163" spans="1:14" ht="24.75" customHeight="1" thickTop="1" thickBot="1" x14ac:dyDescent="0.35">
      <c r="A163" s="15">
        <f>COUNTIF(IndexTbl[unique],IndexTbl[[#This Row],[unique]])</f>
        <v>1</v>
      </c>
      <c r="B16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63" s="18" t="s">
        <v>35</v>
      </c>
      <c r="D163" s="18" t="b">
        <f>ISNUMBER(IndexTbl[[#This Row],[Class]])</f>
        <v>0</v>
      </c>
      <c r="E163" s="17" t="str">
        <f>TRIM(IndexTbl[[#This Row],[Prefix]]&amp;IF(NOT(IndexTbl[[#This Row],[Dewey Number]])," "&amp;IndexTbl[[#This Row],[Class]],""))</f>
        <v>CD DG</v>
      </c>
      <c r="F163" s="19" t="s">
        <v>137</v>
      </c>
      <c r="G163" s="19" t="s">
        <v>152</v>
      </c>
      <c r="H163" s="19" t="s">
        <v>276</v>
      </c>
      <c r="I163" s="18"/>
      <c r="J163" s="18" t="s">
        <v>147</v>
      </c>
      <c r="K163" s="4" t="s">
        <v>332</v>
      </c>
      <c r="M163" s="6"/>
      <c r="N163" s="6"/>
    </row>
    <row r="164" spans="1:14" ht="24.75" customHeight="1" thickTop="1" thickBot="1" x14ac:dyDescent="0.35">
      <c r="A164" s="15">
        <f>COUNTIF(IndexTbl[unique],IndexTbl[[#This Row],[unique]])</f>
        <v>1</v>
      </c>
      <c r="B16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64" s="18" t="s">
        <v>35</v>
      </c>
      <c r="D164" s="18" t="b">
        <f>ISNUMBER(IndexTbl[[#This Row],[Class]])</f>
        <v>0</v>
      </c>
      <c r="E164" s="17" t="str">
        <f>TRIM(IndexTbl[[#This Row],[Prefix]]&amp;IF(NOT(IndexTbl[[#This Row],[Dewey Number]])," "&amp;IndexTbl[[#This Row],[Class]],""))</f>
        <v>CD DO</v>
      </c>
      <c r="F164" s="19" t="s">
        <v>137</v>
      </c>
      <c r="G164" s="19" t="s">
        <v>153</v>
      </c>
      <c r="H164" s="19" t="s">
        <v>276</v>
      </c>
      <c r="I164" s="18"/>
      <c r="J164" s="18" t="s">
        <v>147</v>
      </c>
      <c r="K164" s="4" t="s">
        <v>332</v>
      </c>
      <c r="M164" s="6"/>
      <c r="N164" s="6"/>
    </row>
    <row r="165" spans="1:14" ht="24.75" customHeight="1" thickTop="1" thickBot="1" x14ac:dyDescent="0.35">
      <c r="A165" s="15">
        <f>COUNTIF(IndexTbl[unique],IndexTbl[[#This Row],[unique]])</f>
        <v>1</v>
      </c>
      <c r="B16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5" s="18" t="s">
        <v>35</v>
      </c>
      <c r="D165" s="18" t="b">
        <f>ISNUMBER(IndexTbl[[#This Row],[Class]])</f>
        <v>0</v>
      </c>
      <c r="E165" s="17" t="str">
        <f>TRIM(IndexTbl[[#This Row],[Prefix]]&amp;IF(NOT(IndexTbl[[#This Row],[Dewey Number]])," "&amp;IndexTbl[[#This Row],[Class]],""))</f>
        <v>CD DP</v>
      </c>
      <c r="F165" s="19" t="s">
        <v>137</v>
      </c>
      <c r="G165" s="19" t="s">
        <v>154</v>
      </c>
      <c r="H165" s="19" t="s">
        <v>276</v>
      </c>
      <c r="I165" s="18"/>
      <c r="J165" s="18" t="s">
        <v>147</v>
      </c>
      <c r="K165" s="4" t="s">
        <v>332</v>
      </c>
      <c r="M165" s="6"/>
      <c r="N165" s="6"/>
    </row>
    <row r="166" spans="1:14" ht="24.75" customHeight="1" thickTop="1" thickBot="1" x14ac:dyDescent="0.35">
      <c r="A166" s="15">
        <f>COUNTIF(IndexTbl[unique],IndexTbl[[#This Row],[unique]])</f>
        <v>1</v>
      </c>
      <c r="B16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6" s="18" t="s">
        <v>35</v>
      </c>
      <c r="D166" s="18" t="b">
        <f>ISNUMBER(IndexTbl[[#This Row],[Class]])</f>
        <v>0</v>
      </c>
      <c r="E166" s="17" t="str">
        <f>TRIM(IndexTbl[[#This Row],[Prefix]]&amp;IF(NOT(IndexTbl[[#This Row],[Dewey Number]])," "&amp;IndexTbl[[#This Row],[Class]],""))</f>
        <v>CD DS</v>
      </c>
      <c r="F166" s="19" t="s">
        <v>137</v>
      </c>
      <c r="G166" s="19" t="s">
        <v>155</v>
      </c>
      <c r="H166" s="19" t="s">
        <v>276</v>
      </c>
      <c r="I166" s="18"/>
      <c r="J166" s="18" t="s">
        <v>147</v>
      </c>
      <c r="K166" s="4" t="s">
        <v>332</v>
      </c>
      <c r="M166" s="6"/>
      <c r="N166" s="6"/>
    </row>
    <row r="167" spans="1:14" ht="24.75" customHeight="1" thickTop="1" thickBot="1" x14ac:dyDescent="0.35">
      <c r="A167" s="15">
        <f>COUNTIF(IndexTbl[unique],IndexTbl[[#This Row],[unique]])</f>
        <v>1</v>
      </c>
      <c r="B16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7" s="18" t="s">
        <v>35</v>
      </c>
      <c r="D167" s="18" t="b">
        <f>ISNUMBER(IndexTbl[[#This Row],[Class]])</f>
        <v>0</v>
      </c>
      <c r="E167" s="17" t="str">
        <f>TRIM(IndexTbl[[#This Row],[Prefix]]&amp;IF(NOT(IndexTbl[[#This Row],[Dewey Number]])," "&amp;IndexTbl[[#This Row],[Class]],""))</f>
        <v>CD DV</v>
      </c>
      <c r="F167" s="19" t="s">
        <v>137</v>
      </c>
      <c r="G167" s="19" t="s">
        <v>156</v>
      </c>
      <c r="H167" s="19" t="s">
        <v>276</v>
      </c>
      <c r="I167" s="18"/>
      <c r="J167" s="18" t="s">
        <v>147</v>
      </c>
      <c r="K167" s="4" t="s">
        <v>332</v>
      </c>
      <c r="M167" s="6"/>
      <c r="N167" s="6"/>
    </row>
    <row r="168" spans="1:14" ht="24.75" customHeight="1" thickTop="1" thickBot="1" x14ac:dyDescent="0.35">
      <c r="A168" s="15">
        <f>COUNTIF(IndexTbl[unique],IndexTbl[[#This Row],[unique]])</f>
        <v>1</v>
      </c>
      <c r="B16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8" s="18" t="s">
        <v>35</v>
      </c>
      <c r="D168" s="18" t="b">
        <f>ISNUMBER(IndexTbl[[#This Row],[Class]])</f>
        <v>0</v>
      </c>
      <c r="E168" s="17" t="str">
        <f>TRIM(IndexTbl[[#This Row],[Prefix]]&amp;IF(NOT(IndexTbl[[#This Row],[Dewey Number]])," "&amp;IndexTbl[[#This Row],[Class]],""))</f>
        <v>CD DW</v>
      </c>
      <c r="F168" s="19" t="s">
        <v>137</v>
      </c>
      <c r="G168" s="19" t="s">
        <v>157</v>
      </c>
      <c r="H168" s="19" t="s">
        <v>276</v>
      </c>
      <c r="I168" s="18"/>
      <c r="J168" s="18" t="s">
        <v>147</v>
      </c>
      <c r="K168" s="4" t="s">
        <v>332</v>
      </c>
      <c r="M168" s="6"/>
      <c r="N168" s="6"/>
    </row>
    <row r="169" spans="1:14" ht="24.75" customHeight="1" thickTop="1" thickBot="1" x14ac:dyDescent="0.35">
      <c r="A169" s="15">
        <f>COUNTIF(IndexTbl[unique],IndexTbl[[#This Row],[unique]])</f>
        <v>1</v>
      </c>
      <c r="B16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9" s="18" t="s">
        <v>35</v>
      </c>
      <c r="D169" s="18" t="b">
        <f>ISNUMBER(IndexTbl[[#This Row],[Class]])</f>
        <v>0</v>
      </c>
      <c r="E169" s="17" t="str">
        <f>TRIM(IndexTbl[[#This Row],[Prefix]]&amp;IF(NOT(IndexTbl[[#This Row],[Dewey Number]])," "&amp;IndexTbl[[#This Row],[Class]],""))</f>
        <v>CD DX</v>
      </c>
      <c r="F169" s="19" t="s">
        <v>137</v>
      </c>
      <c r="G169" s="19" t="s">
        <v>158</v>
      </c>
      <c r="H169" s="19" t="s">
        <v>276</v>
      </c>
      <c r="I169" s="18"/>
      <c r="J169" s="18" t="s">
        <v>147</v>
      </c>
      <c r="K169" s="4" t="s">
        <v>332</v>
      </c>
      <c r="M169" s="6"/>
      <c r="N169" s="6"/>
    </row>
    <row r="170" spans="1:14" ht="24.75" customHeight="1" thickTop="1" thickBot="1" x14ac:dyDescent="0.35">
      <c r="A170" s="15">
        <f>COUNTIF(IndexTbl[unique],IndexTbl[[#This Row],[unique]])</f>
        <v>1</v>
      </c>
      <c r="B17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70" s="18" t="s">
        <v>35</v>
      </c>
      <c r="D170" s="18" t="b">
        <f>ISNUMBER(IndexTbl[[#This Row],[Class]])</f>
        <v>0</v>
      </c>
      <c r="E170" s="17" t="str">
        <f>TRIM(IndexTbl[[#This Row],[Prefix]]&amp;IF(NOT(IndexTbl[[#This Row],[Dewey Number]])," "&amp;IndexTbl[[#This Row],[Class]],""))</f>
        <v>CD E</v>
      </c>
      <c r="F170" s="19" t="s">
        <v>137</v>
      </c>
      <c r="G170" s="19" t="s">
        <v>53</v>
      </c>
      <c r="H170" s="19" t="s">
        <v>276</v>
      </c>
      <c r="I170" s="18"/>
      <c r="J170" s="18" t="s">
        <v>147</v>
      </c>
      <c r="K170" s="4" t="s">
        <v>332</v>
      </c>
      <c r="M170" s="6"/>
      <c r="N170" s="6"/>
    </row>
    <row r="171" spans="1:14" ht="24.75" customHeight="1" thickTop="1" thickBot="1" x14ac:dyDescent="0.35">
      <c r="A171" s="15">
        <f>COUNTIF(IndexTbl[unique],IndexTbl[[#This Row],[unique]])</f>
        <v>1</v>
      </c>
      <c r="B17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71" s="18" t="s">
        <v>35</v>
      </c>
      <c r="D171" s="18" t="b">
        <f>ISNUMBER(IndexTbl[[#This Row],[Class]])</f>
        <v>0</v>
      </c>
      <c r="E171" s="17" t="str">
        <f>TRIM(IndexTbl[[#This Row],[Prefix]]&amp;IF(NOT(IndexTbl[[#This Row],[Dewey Number]])," "&amp;IndexTbl[[#This Row],[Class]],""))</f>
        <v>CD F</v>
      </c>
      <c r="F171" s="19" t="s">
        <v>137</v>
      </c>
      <c r="G171" s="19" t="s">
        <v>159</v>
      </c>
      <c r="H171" s="19" t="s">
        <v>276</v>
      </c>
      <c r="I171" s="18"/>
      <c r="J171" s="18" t="s">
        <v>147</v>
      </c>
      <c r="K171" s="4" t="s">
        <v>332</v>
      </c>
      <c r="M171" s="6"/>
      <c r="N171" s="6"/>
    </row>
    <row r="172" spans="1:14" ht="24.75" customHeight="1" thickTop="1" thickBot="1" x14ac:dyDescent="0.35">
      <c r="A172" s="15">
        <f>COUNTIF(IndexTbl[unique],IndexTbl[[#This Row],[unique]])</f>
        <v>1</v>
      </c>
      <c r="B17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72" s="18" t="s">
        <v>35</v>
      </c>
      <c r="D172" s="18" t="b">
        <f>ISNUMBER(IndexTbl[[#This Row],[Class]])</f>
        <v>0</v>
      </c>
      <c r="E172" s="17" t="str">
        <f>TRIM(IndexTbl[[#This Row],[Prefix]]&amp;IF(NOT(IndexTbl[[#This Row],[Dewey Number]])," "&amp;IndexTbl[[#This Row],[Class]],""))</f>
        <v>CD G</v>
      </c>
      <c r="F172" s="19" t="s">
        <v>137</v>
      </c>
      <c r="G172" s="19" t="s">
        <v>160</v>
      </c>
      <c r="H172" s="19" t="s">
        <v>276</v>
      </c>
      <c r="I172" s="18"/>
      <c r="J172" s="18" t="s">
        <v>147</v>
      </c>
      <c r="K172" s="4" t="s">
        <v>332</v>
      </c>
      <c r="M172" s="6"/>
      <c r="N172" s="6"/>
    </row>
    <row r="173" spans="1:14" ht="24.75" customHeight="1" thickTop="1" thickBot="1" x14ac:dyDescent="0.35">
      <c r="A173" s="15">
        <f>COUNTIF(IndexTbl[unique],IndexTbl[[#This Row],[unique]])</f>
        <v>1</v>
      </c>
      <c r="B17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73" s="18" t="s">
        <v>35</v>
      </c>
      <c r="D173" s="18" t="b">
        <f>ISNUMBER(IndexTbl[[#This Row],[Class]])</f>
        <v>0</v>
      </c>
      <c r="E173" s="17" t="str">
        <f>TRIM(IndexTbl[[#This Row],[Prefix]]&amp;IF(NOT(IndexTbl[[#This Row],[Dewey Number]])," "&amp;IndexTbl[[#This Row],[Class]],""))</f>
        <v>CD H</v>
      </c>
      <c r="F173" s="19" t="s">
        <v>137</v>
      </c>
      <c r="G173" s="19" t="s">
        <v>161</v>
      </c>
      <c r="H173" s="19" t="s">
        <v>276</v>
      </c>
      <c r="I173" s="18"/>
      <c r="J173" s="18" t="s">
        <v>147</v>
      </c>
      <c r="K173" s="4" t="s">
        <v>332</v>
      </c>
      <c r="M173" s="6"/>
      <c r="N173" s="6"/>
    </row>
    <row r="174" spans="1:14" ht="24.75" customHeight="1" thickTop="1" thickBot="1" x14ac:dyDescent="0.35">
      <c r="A174" s="15">
        <f>COUNTIF(IndexTbl[unique],IndexTbl[[#This Row],[unique]])</f>
        <v>1</v>
      </c>
      <c r="B17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74" s="18" t="s">
        <v>35</v>
      </c>
      <c r="D174" s="18" t="b">
        <f>ISNUMBER(IndexTbl[[#This Row],[Class]])</f>
        <v>0</v>
      </c>
      <c r="E174" s="17" t="str">
        <f>TRIM(IndexTbl[[#This Row],[Prefix]]&amp;IF(NOT(IndexTbl[[#This Row],[Dewey Number]])," "&amp;IndexTbl[[#This Row],[Class]],""))</f>
        <v>CD K</v>
      </c>
      <c r="F174" s="19" t="s">
        <v>137</v>
      </c>
      <c r="G174" s="19" t="s">
        <v>162</v>
      </c>
      <c r="H174" s="19" t="s">
        <v>276</v>
      </c>
      <c r="I174" s="18"/>
      <c r="J174" s="18" t="s">
        <v>147</v>
      </c>
      <c r="K174" s="4" t="s">
        <v>332</v>
      </c>
      <c r="M174" s="6"/>
      <c r="N174" s="6"/>
    </row>
    <row r="175" spans="1:14" ht="24.75" customHeight="1" thickTop="1" thickBot="1" x14ac:dyDescent="0.35">
      <c r="A175" s="15">
        <f>COUNTIF(IndexTbl[unique],IndexTbl[[#This Row],[unique]])</f>
        <v>1</v>
      </c>
      <c r="B17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5" s="18" t="s">
        <v>35</v>
      </c>
      <c r="D175" s="18" t="b">
        <f>ISNUMBER(IndexTbl[[#This Row],[Class]])</f>
        <v>0</v>
      </c>
      <c r="E175" s="17" t="str">
        <f>TRIM(IndexTbl[[#This Row],[Prefix]]&amp;IF(NOT(IndexTbl[[#This Row],[Dewey Number]])," "&amp;IndexTbl[[#This Row],[Class]],""))</f>
        <v>CD L</v>
      </c>
      <c r="F175" s="19" t="s">
        <v>137</v>
      </c>
      <c r="G175" s="19" t="s">
        <v>163</v>
      </c>
      <c r="H175" s="19" t="s">
        <v>276</v>
      </c>
      <c r="I175" s="18"/>
      <c r="J175" s="18" t="s">
        <v>147</v>
      </c>
      <c r="K175" s="4" t="s">
        <v>332</v>
      </c>
      <c r="M175" s="6"/>
      <c r="N175" s="6"/>
    </row>
    <row r="176" spans="1:14" ht="24.75" customHeight="1" thickTop="1" thickBot="1" x14ac:dyDescent="0.35">
      <c r="A176" s="15">
        <f>COUNTIF(IndexTbl[unique],IndexTbl[[#This Row],[unique]])</f>
        <v>1</v>
      </c>
      <c r="B17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6" s="18" t="s">
        <v>35</v>
      </c>
      <c r="D176" s="18" t="b">
        <f>ISNUMBER(IndexTbl[[#This Row],[Class]])</f>
        <v>0</v>
      </c>
      <c r="E176" s="17" t="str">
        <f>TRIM(IndexTbl[[#This Row],[Prefix]]&amp;IF(NOT(IndexTbl[[#This Row],[Dewey Number]])," "&amp;IndexTbl[[#This Row],[Class]],""))</f>
        <v>CD M</v>
      </c>
      <c r="F176" s="19" t="s">
        <v>137</v>
      </c>
      <c r="G176" s="19" t="s">
        <v>164</v>
      </c>
      <c r="H176" s="19" t="s">
        <v>276</v>
      </c>
      <c r="I176" s="18"/>
      <c r="J176" s="18" t="s">
        <v>147</v>
      </c>
      <c r="K176" s="4" t="s">
        <v>332</v>
      </c>
      <c r="M176" s="6"/>
      <c r="N176" s="6"/>
    </row>
    <row r="177" spans="1:14" ht="24.75" customHeight="1" thickTop="1" thickBot="1" x14ac:dyDescent="0.35">
      <c r="A177" s="15">
        <f>COUNTIF(IndexTbl[unique],IndexTbl[[#This Row],[unique]])</f>
        <v>1</v>
      </c>
      <c r="B17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7" s="18" t="s">
        <v>35</v>
      </c>
      <c r="D177" s="18" t="b">
        <f>ISNUMBER(IndexTbl[[#This Row],[Class]])</f>
        <v>0</v>
      </c>
      <c r="E177" s="17" t="str">
        <f>TRIM(IndexTbl[[#This Row],[Prefix]]&amp;IF(NOT(IndexTbl[[#This Row],[Dewey Number]])," "&amp;IndexTbl[[#This Row],[Class]],""))</f>
        <v>CD MA</v>
      </c>
      <c r="F177" s="19" t="s">
        <v>137</v>
      </c>
      <c r="G177" s="19" t="s">
        <v>165</v>
      </c>
      <c r="H177" s="19" t="s">
        <v>276</v>
      </c>
      <c r="I177" s="18"/>
      <c r="J177" s="18" t="s">
        <v>147</v>
      </c>
      <c r="K177" s="4" t="s">
        <v>332</v>
      </c>
      <c r="M177" s="6"/>
      <c r="N177" s="6"/>
    </row>
    <row r="178" spans="1:14" ht="24.75" customHeight="1" thickTop="1" thickBot="1" x14ac:dyDescent="0.35">
      <c r="A178" s="15">
        <f>COUNTIF(IndexTbl[unique],IndexTbl[[#This Row],[unique]])</f>
        <v>1</v>
      </c>
      <c r="B17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8" s="18" t="s">
        <v>35</v>
      </c>
      <c r="D178" s="18" t="b">
        <f>ISNUMBER(IndexTbl[[#This Row],[Class]])</f>
        <v>0</v>
      </c>
      <c r="E178" s="17" t="str">
        <f>TRIM(IndexTbl[[#This Row],[Prefix]]&amp;IF(NOT(IndexTbl[[#This Row],[Dewey Number]])," "&amp;IndexTbl[[#This Row],[Class]],""))</f>
        <v>CD MC</v>
      </c>
      <c r="F178" s="19" t="s">
        <v>137</v>
      </c>
      <c r="G178" s="19" t="s">
        <v>166</v>
      </c>
      <c r="H178" s="19" t="s">
        <v>276</v>
      </c>
      <c r="I178" s="18"/>
      <c r="J178" s="18" t="s">
        <v>147</v>
      </c>
      <c r="K178" s="4" t="s">
        <v>332</v>
      </c>
      <c r="M178" s="6"/>
      <c r="N178" s="6"/>
    </row>
    <row r="179" spans="1:14" ht="24.75" customHeight="1" thickTop="1" thickBot="1" x14ac:dyDescent="0.35">
      <c r="A179" s="15">
        <f>COUNTIF(IndexTbl[unique],IndexTbl[[#This Row],[unique]])</f>
        <v>1</v>
      </c>
      <c r="B17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9" s="18" t="s">
        <v>35</v>
      </c>
      <c r="D179" s="18" t="b">
        <f>ISNUMBER(IndexTbl[[#This Row],[Class]])</f>
        <v>0</v>
      </c>
      <c r="E179" s="17" t="str">
        <f>TRIM(IndexTbl[[#This Row],[Prefix]]&amp;IF(NOT(IndexTbl[[#This Row],[Dewey Number]])," "&amp;IndexTbl[[#This Row],[Class]],""))</f>
        <v>CD ME</v>
      </c>
      <c r="F179" s="19" t="s">
        <v>137</v>
      </c>
      <c r="G179" s="19" t="s">
        <v>167</v>
      </c>
      <c r="H179" s="19" t="s">
        <v>276</v>
      </c>
      <c r="I179" s="18"/>
      <c r="J179" s="18" t="s">
        <v>147</v>
      </c>
      <c r="K179" s="4" t="s">
        <v>332</v>
      </c>
      <c r="M179" s="6"/>
      <c r="N179" s="6"/>
    </row>
    <row r="180" spans="1:14" ht="24.75" customHeight="1" thickTop="1" thickBot="1" x14ac:dyDescent="0.35">
      <c r="A180" s="15">
        <f>COUNTIF(IndexTbl[unique],IndexTbl[[#This Row],[unique]])</f>
        <v>1</v>
      </c>
      <c r="B18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80" s="18" t="s">
        <v>35</v>
      </c>
      <c r="D180" s="18" t="b">
        <f>ISNUMBER(IndexTbl[[#This Row],[Class]])</f>
        <v>0</v>
      </c>
      <c r="E180" s="17" t="str">
        <f>TRIM(IndexTbl[[#This Row],[Prefix]]&amp;IF(NOT(IndexTbl[[#This Row],[Dewey Number]])," "&amp;IndexTbl[[#This Row],[Class]],""))</f>
        <v>CD MH</v>
      </c>
      <c r="F180" s="19" t="s">
        <v>137</v>
      </c>
      <c r="G180" s="19" t="s">
        <v>168</v>
      </c>
      <c r="H180" s="19" t="s">
        <v>276</v>
      </c>
      <c r="I180" s="18"/>
      <c r="J180" s="18" t="s">
        <v>147</v>
      </c>
      <c r="K180" s="4" t="s">
        <v>332</v>
      </c>
      <c r="M180" s="6"/>
      <c r="N180" s="6"/>
    </row>
    <row r="181" spans="1:14" ht="24.75" customHeight="1" thickTop="1" thickBot="1" x14ac:dyDescent="0.35">
      <c r="A181" s="15">
        <f>COUNTIF(IndexTbl[unique],IndexTbl[[#This Row],[unique]])</f>
        <v>1</v>
      </c>
      <c r="B18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81" s="18" t="s">
        <v>35</v>
      </c>
      <c r="D181" s="18" t="b">
        <f>ISNUMBER(IndexTbl[[#This Row],[Class]])</f>
        <v>0</v>
      </c>
      <c r="E181" s="17" t="str">
        <f>TRIM(IndexTbl[[#This Row],[Prefix]]&amp;IF(NOT(IndexTbl[[#This Row],[Dewey Number]])," "&amp;IndexTbl[[#This Row],[Class]],""))</f>
        <v>CD MI</v>
      </c>
      <c r="F181" s="19" t="s">
        <v>137</v>
      </c>
      <c r="G181" s="19" t="s">
        <v>169</v>
      </c>
      <c r="H181" s="19" t="s">
        <v>276</v>
      </c>
      <c r="I181" s="18"/>
      <c r="J181" s="18" t="s">
        <v>147</v>
      </c>
      <c r="K181" s="4" t="s">
        <v>332</v>
      </c>
      <c r="M181" s="6"/>
      <c r="N181" s="6"/>
    </row>
    <row r="182" spans="1:14" ht="24.75" customHeight="1" thickTop="1" thickBot="1" x14ac:dyDescent="0.35">
      <c r="A182" s="15">
        <f>COUNTIF(IndexTbl[unique],IndexTbl[[#This Row],[unique]])</f>
        <v>1</v>
      </c>
      <c r="B18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82" s="18" t="s">
        <v>35</v>
      </c>
      <c r="D182" s="18" t="b">
        <f>ISNUMBER(IndexTbl[[#This Row],[Class]])</f>
        <v>0</v>
      </c>
      <c r="E182" s="17" t="str">
        <f>TRIM(IndexTbl[[#This Row],[Prefix]]&amp;IF(NOT(IndexTbl[[#This Row],[Dewey Number]])," "&amp;IndexTbl[[#This Row],[Class]],""))</f>
        <v>CD MR</v>
      </c>
      <c r="F182" s="19" t="s">
        <v>137</v>
      </c>
      <c r="G182" s="19" t="s">
        <v>170</v>
      </c>
      <c r="H182" s="19" t="s">
        <v>276</v>
      </c>
      <c r="I182" s="18"/>
      <c r="J182" s="18" t="s">
        <v>147</v>
      </c>
      <c r="K182" s="4" t="s">
        <v>332</v>
      </c>
      <c r="M182" s="6"/>
      <c r="N182" s="6"/>
    </row>
    <row r="183" spans="1:14" ht="24.75" customHeight="1" thickTop="1" thickBot="1" x14ac:dyDescent="0.35">
      <c r="A183" s="15">
        <f>COUNTIF(IndexTbl[unique],IndexTbl[[#This Row],[unique]])</f>
        <v>1</v>
      </c>
      <c r="B18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83" s="18" t="s">
        <v>35</v>
      </c>
      <c r="D183" s="18" t="b">
        <f>ISNUMBER(IndexTbl[[#This Row],[Class]])</f>
        <v>0</v>
      </c>
      <c r="E183" s="17" t="str">
        <f>TRIM(IndexTbl[[#This Row],[Prefix]]&amp;IF(NOT(IndexTbl[[#This Row],[Dewey Number]])," "&amp;IndexTbl[[#This Row],[Class]],""))</f>
        <v>CD P</v>
      </c>
      <c r="F183" s="19" t="s">
        <v>137</v>
      </c>
      <c r="G183" s="19" t="s">
        <v>171</v>
      </c>
      <c r="H183" s="19" t="s">
        <v>276</v>
      </c>
      <c r="I183" s="18"/>
      <c r="J183" s="18" t="s">
        <v>147</v>
      </c>
      <c r="K183" s="4" t="s">
        <v>332</v>
      </c>
      <c r="M183" s="6"/>
      <c r="N183" s="6"/>
    </row>
    <row r="184" spans="1:14" ht="24.75" customHeight="1" thickTop="1" thickBot="1" x14ac:dyDescent="0.35">
      <c r="A184" s="15">
        <f>COUNTIF(IndexTbl[unique],IndexTbl[[#This Row],[unique]])</f>
        <v>1</v>
      </c>
      <c r="B18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84" s="18" t="s">
        <v>35</v>
      </c>
      <c r="D184" s="18" t="b">
        <f>ISNUMBER(IndexTbl[[#This Row],[Class]])</f>
        <v>0</v>
      </c>
      <c r="E184" s="17" t="str">
        <f>TRIM(IndexTbl[[#This Row],[Prefix]]&amp;IF(NOT(IndexTbl[[#This Row],[Dewey Number]])," "&amp;IndexTbl[[#This Row],[Class]],""))</f>
        <v>CD R</v>
      </c>
      <c r="F184" s="19" t="s">
        <v>137</v>
      </c>
      <c r="G184" s="19" t="s">
        <v>172</v>
      </c>
      <c r="H184" s="19" t="s">
        <v>276</v>
      </c>
      <c r="I184" s="18"/>
      <c r="J184" s="18" t="s">
        <v>147</v>
      </c>
      <c r="K184" s="4" t="s">
        <v>332</v>
      </c>
      <c r="M184" s="6"/>
      <c r="N184" s="6"/>
    </row>
    <row r="185" spans="1:14" ht="24.75" customHeight="1" thickTop="1" thickBot="1" x14ac:dyDescent="0.35">
      <c r="A185" s="15">
        <f>COUNTIF(IndexTbl[unique],IndexTbl[[#This Row],[unique]])</f>
        <v>1</v>
      </c>
      <c r="B18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5" s="18" t="s">
        <v>35</v>
      </c>
      <c r="D185" s="18" t="b">
        <f>ISNUMBER(IndexTbl[[#This Row],[Class]])</f>
        <v>0</v>
      </c>
      <c r="E185" s="17" t="str">
        <f>TRIM(IndexTbl[[#This Row],[Prefix]]&amp;IF(NOT(IndexTbl[[#This Row],[Dewey Number]])," "&amp;IndexTbl[[#This Row],[Class]],""))</f>
        <v>CD S</v>
      </c>
      <c r="F185" s="19" t="s">
        <v>137</v>
      </c>
      <c r="G185" s="19" t="s">
        <v>173</v>
      </c>
      <c r="H185" s="19" t="s">
        <v>276</v>
      </c>
      <c r="I185" s="18"/>
      <c r="J185" s="18" t="s">
        <v>147</v>
      </c>
      <c r="K185" s="4" t="s">
        <v>332</v>
      </c>
      <c r="M185" s="6"/>
      <c r="N185" s="6"/>
    </row>
    <row r="186" spans="1:14" ht="24.75" customHeight="1" thickTop="1" thickBot="1" x14ac:dyDescent="0.35">
      <c r="A186" s="15">
        <f>COUNTIF(IndexTbl[unique],IndexTbl[[#This Row],[unique]])</f>
        <v>1</v>
      </c>
      <c r="B18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6" s="18" t="s">
        <v>35</v>
      </c>
      <c r="D186" s="18" t="b">
        <f>ISNUMBER(IndexTbl[[#This Row],[Class]])</f>
        <v>0</v>
      </c>
      <c r="E186" s="17" t="str">
        <f>TRIM(IndexTbl[[#This Row],[Prefix]]&amp;IF(NOT(IndexTbl[[#This Row],[Dewey Number]])," "&amp;IndexTbl[[#This Row],[Class]],""))</f>
        <v>CD U</v>
      </c>
      <c r="F186" s="19" t="s">
        <v>137</v>
      </c>
      <c r="G186" s="21" t="s">
        <v>174</v>
      </c>
      <c r="H186" s="19" t="s">
        <v>276</v>
      </c>
      <c r="I186" s="18"/>
      <c r="J186" s="18" t="s">
        <v>147</v>
      </c>
      <c r="K186" s="4" t="s">
        <v>332</v>
      </c>
      <c r="M186" s="6"/>
      <c r="N186" s="6"/>
    </row>
    <row r="187" spans="1:14" ht="24.75" customHeight="1" thickTop="1" thickBot="1" x14ac:dyDescent="0.35">
      <c r="A187" s="15">
        <f>COUNTIF(IndexTbl[unique],IndexTbl[[#This Row],[unique]])</f>
        <v>1</v>
      </c>
      <c r="B187" s="20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7" s="20" t="s">
        <v>45</v>
      </c>
      <c r="D187" s="18" t="b">
        <f>ISNUMBER(IndexTbl[[#This Row],[Class]])</f>
        <v>0</v>
      </c>
      <c r="E187" s="17" t="str">
        <f>TRIM(IndexTbl[[#This Row],[Prefix]]&amp;IF(NOT(IndexTbl[[#This Row],[Dewey Number]])," "&amp;IndexTbl[[#This Row],[Class]],""))</f>
        <v/>
      </c>
      <c r="F187" s="19"/>
      <c r="G187" s="19"/>
      <c r="H187" s="19" t="s">
        <v>250</v>
      </c>
      <c r="I187" s="20"/>
      <c r="J187" s="20" t="s">
        <v>45</v>
      </c>
      <c r="K187" s="4" t="s">
        <v>332</v>
      </c>
      <c r="M187" s="6"/>
      <c r="N187" s="6"/>
    </row>
    <row r="188" spans="1:14" ht="24.75" customHeight="1" thickTop="1" thickBot="1" x14ac:dyDescent="0.35">
      <c r="A188" s="15">
        <f>COUNTIF(IndexTbl[unique],IndexTbl[[#This Row],[unique]])</f>
        <v>1</v>
      </c>
      <c r="B18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8" s="16" t="s">
        <v>303</v>
      </c>
      <c r="D188" s="16" t="b">
        <f>ISNUMBER(IndexTbl[[#This Row],[Class]])</f>
        <v>0</v>
      </c>
      <c r="E188" s="17" t="str">
        <f>TRIM(IndexTbl[[#This Row],[Prefix]]&amp;IF(NOT(IndexTbl[[#This Row],[Dewey Number]])," "&amp;IndexTbl[[#This Row],[Class]],""))</f>
        <v/>
      </c>
      <c r="F188" s="15"/>
      <c r="G188" s="15"/>
      <c r="H188" s="19" t="s">
        <v>250</v>
      </c>
      <c r="I188" s="20"/>
      <c r="J188" s="20" t="s">
        <v>326</v>
      </c>
      <c r="K188" s="4" t="s">
        <v>332</v>
      </c>
      <c r="M188" s="6"/>
      <c r="N188" s="6"/>
    </row>
    <row r="189" spans="1:14" ht="24.75" customHeight="1" thickTop="1" thickBot="1" x14ac:dyDescent="0.35">
      <c r="A189" s="15">
        <f>COUNTIF(IndexTbl[unique],IndexTbl[[#This Row],[unique]])</f>
        <v>1</v>
      </c>
      <c r="B189" s="18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9" s="18" t="s">
        <v>36</v>
      </c>
      <c r="D189" s="18" t="b">
        <f>ISNUMBER(IndexTbl[[#This Row],[Class]])</f>
        <v>0</v>
      </c>
      <c r="E189" s="17" t="str">
        <f>TRIM(IndexTbl[[#This Row],[Prefix]]&amp;IF(NOT(IndexTbl[[#This Row],[Dewey Number]])," "&amp;IndexTbl[[#This Row],[Class]],""))</f>
        <v/>
      </c>
      <c r="F189" s="19"/>
      <c r="G189" s="19"/>
      <c r="H189" s="19" t="s">
        <v>250</v>
      </c>
      <c r="I189" s="18"/>
      <c r="J189" s="18" t="s">
        <v>36</v>
      </c>
      <c r="K189" s="4" t="s">
        <v>332</v>
      </c>
      <c r="M189" s="6"/>
      <c r="N189" s="6"/>
    </row>
    <row r="190" spans="1:14" ht="24.75" customHeight="1" thickTop="1" thickBot="1" x14ac:dyDescent="0.35">
      <c r="A190" s="22">
        <f>COUNTIF(IndexTbl[unique],IndexTbl[[#This Row],[unique]])</f>
        <v>1</v>
      </c>
      <c r="B190" s="23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90" s="16" t="s">
        <v>304</v>
      </c>
      <c r="D190" s="16" t="b">
        <f>ISNUMBER(IndexTbl[[#This Row],[Class]])</f>
        <v>0</v>
      </c>
      <c r="E190" s="17" t="str">
        <f>TRIM(IndexTbl[[#This Row],[Prefix]]&amp;IF(NOT(IndexTbl[[#This Row],[Dewey Number]])," "&amp;IndexTbl[[#This Row],[Class]],""))</f>
        <v>FIC</v>
      </c>
      <c r="F190" s="15"/>
      <c r="G190" s="15" t="s">
        <v>61</v>
      </c>
      <c r="H190" s="19" t="s">
        <v>251</v>
      </c>
      <c r="I190" s="18" t="s">
        <v>333</v>
      </c>
      <c r="J190" s="18" t="s">
        <v>304</v>
      </c>
      <c r="K190" s="4" t="s">
        <v>332</v>
      </c>
      <c r="M190" s="6"/>
      <c r="N190" s="6"/>
    </row>
    <row r="191" spans="1:14" ht="24.75" customHeight="1" thickTop="1" thickBot="1" x14ac:dyDescent="0.35">
      <c r="A191" s="22">
        <f>COUNTIF(IndexTbl[unique],IndexTbl[[#This Row],[unique]])</f>
        <v>1</v>
      </c>
      <c r="B191" s="23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91" s="16" t="s">
        <v>304</v>
      </c>
      <c r="D191" s="16" t="b">
        <f>ISNUMBER(IndexTbl[[#This Row],[Class]])</f>
        <v>1</v>
      </c>
      <c r="E191" s="17" t="str">
        <f>TRIM(IndexTbl[[#This Row],[Prefix]]&amp;IF(NOT(IndexTbl[[#This Row],[Dewey Number]])," "&amp;IndexTbl[[#This Row],[Class]],""))</f>
        <v/>
      </c>
      <c r="F191" s="15"/>
      <c r="G191" s="15">
        <v>999.99</v>
      </c>
      <c r="H191" s="19" t="s">
        <v>251</v>
      </c>
      <c r="I191" s="18" t="s">
        <v>333</v>
      </c>
      <c r="J191" s="18" t="s">
        <v>308</v>
      </c>
      <c r="K191" s="4" t="s">
        <v>332</v>
      </c>
      <c r="M191" s="6"/>
      <c r="N191" s="6"/>
    </row>
    <row r="192" spans="1:14" ht="24.75" customHeight="1" thickTop="1" thickBot="1" x14ac:dyDescent="0.35">
      <c r="A192" s="15">
        <f>COUNTIF(IndexTbl[unique],IndexTbl[[#This Row],[unique]])</f>
        <v>1</v>
      </c>
      <c r="B192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92" s="16" t="s">
        <v>304</v>
      </c>
      <c r="D192" s="16" t="b">
        <f>ISNUMBER(IndexTbl[[#This Row],[Class]])</f>
        <v>0</v>
      </c>
      <c r="E192" s="17" t="str">
        <f>TRIM(IndexTbl[[#This Row],[Prefix]]&amp;IF(NOT(IndexTbl[[#This Row],[Dewey Number]])," "&amp;IndexTbl[[#This Row],[Class]],""))</f>
        <v>FIC</v>
      </c>
      <c r="F192" s="15"/>
      <c r="G192" s="15" t="s">
        <v>61</v>
      </c>
      <c r="H192" s="19" t="s">
        <v>251</v>
      </c>
      <c r="I192" s="18"/>
      <c r="J192" s="18" t="s">
        <v>304</v>
      </c>
      <c r="K192" s="4" t="s">
        <v>332</v>
      </c>
      <c r="M192" s="6"/>
      <c r="N192" s="6"/>
    </row>
    <row r="193" spans="1:14" ht="24.75" customHeight="1" thickTop="1" thickBot="1" x14ac:dyDescent="0.35">
      <c r="A193" s="15">
        <f>COUNTIF(IndexTbl[unique],IndexTbl[[#This Row],[unique]])</f>
        <v>1</v>
      </c>
      <c r="B193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93" s="16" t="s">
        <v>304</v>
      </c>
      <c r="D193" s="16" t="b">
        <f>ISNUMBER(IndexTbl[[#This Row],[Class]])</f>
        <v>1</v>
      </c>
      <c r="E193" s="17" t="str">
        <f>TRIM(IndexTbl[[#This Row],[Prefix]]&amp;IF(NOT(IndexTbl[[#This Row],[Dewey Number]])," "&amp;IndexTbl[[#This Row],[Class]],""))</f>
        <v/>
      </c>
      <c r="F193" s="15"/>
      <c r="G193" s="15">
        <v>999.99</v>
      </c>
      <c r="H193" s="19" t="s">
        <v>251</v>
      </c>
      <c r="I193" s="18"/>
      <c r="J193" s="18" t="s">
        <v>308</v>
      </c>
      <c r="K193" s="4" t="s">
        <v>332</v>
      </c>
      <c r="M193" s="6"/>
      <c r="N193" s="6"/>
    </row>
    <row r="194" spans="1:14" ht="24.75" customHeight="1" thickTop="1" thickBot="1" x14ac:dyDescent="0.35">
      <c r="A194" s="22">
        <f>COUNTIF(IndexTbl[unique],IndexTbl[[#This Row],[unique]])</f>
        <v>1</v>
      </c>
      <c r="B194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4" s="16" t="s">
        <v>306</v>
      </c>
      <c r="D194" s="16" t="b">
        <f>ISNUMBER(IndexTbl[[#This Row],[Class]])</f>
        <v>0</v>
      </c>
      <c r="E194" s="17" t="str">
        <f>TRIM(IndexTbl[[#This Row],[Prefix]]&amp;IF(NOT(IndexTbl[[#This Row],[Dewey Number]])," "&amp;IndexTbl[[#This Row],[Class]],""))</f>
        <v>TEEN</v>
      </c>
      <c r="F194" s="15" t="s">
        <v>205</v>
      </c>
      <c r="G194" s="15"/>
      <c r="H194" s="19" t="s">
        <v>251</v>
      </c>
      <c r="I194" s="18" t="s">
        <v>333</v>
      </c>
      <c r="J194" s="18" t="s">
        <v>306</v>
      </c>
      <c r="K194" s="4" t="s">
        <v>332</v>
      </c>
      <c r="N194" s="6"/>
    </row>
    <row r="195" spans="1:14" ht="24.75" customHeight="1" thickTop="1" thickBot="1" x14ac:dyDescent="0.35">
      <c r="A195" s="22">
        <f>COUNTIF(IndexTbl[unique],IndexTbl[[#This Row],[unique]])</f>
        <v>1</v>
      </c>
      <c r="B195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5" s="16" t="s">
        <v>306</v>
      </c>
      <c r="D195" s="16" t="b">
        <f>ISNUMBER(IndexTbl[[#This Row],[Class]])</f>
        <v>1</v>
      </c>
      <c r="E195" s="17" t="str">
        <f>TRIM(IndexTbl[[#This Row],[Prefix]]&amp;IF(NOT(IndexTbl[[#This Row],[Dewey Number]])," "&amp;IndexTbl[[#This Row],[Class]],""))</f>
        <v>TEEN</v>
      </c>
      <c r="F195" s="15" t="s">
        <v>205</v>
      </c>
      <c r="G195" s="15">
        <v>999.99</v>
      </c>
      <c r="H195" s="19" t="s">
        <v>251</v>
      </c>
      <c r="I195" s="18" t="s">
        <v>333</v>
      </c>
      <c r="J195" s="18" t="s">
        <v>307</v>
      </c>
      <c r="K195" s="4" t="s">
        <v>332</v>
      </c>
    </row>
    <row r="196" spans="1:14" ht="24.75" customHeight="1" thickTop="1" thickBot="1" x14ac:dyDescent="0.35">
      <c r="A196" s="15">
        <f>COUNTIF(IndexTbl[unique],IndexTbl[[#This Row],[unique]])</f>
        <v>1</v>
      </c>
      <c r="B196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96" s="16" t="s">
        <v>306</v>
      </c>
      <c r="D196" s="16" t="b">
        <f>ISNUMBER(IndexTbl[[#This Row],[Class]])</f>
        <v>0</v>
      </c>
      <c r="E196" s="17" t="str">
        <f>TRIM(IndexTbl[[#This Row],[Prefix]]&amp;IF(NOT(IndexTbl[[#This Row],[Dewey Number]])," "&amp;IndexTbl[[#This Row],[Class]],""))</f>
        <v>TEEN</v>
      </c>
      <c r="F196" s="15" t="s">
        <v>205</v>
      </c>
      <c r="G196" s="15"/>
      <c r="H196" s="19" t="s">
        <v>251</v>
      </c>
      <c r="I196" s="18"/>
      <c r="J196" s="18" t="s">
        <v>306</v>
      </c>
      <c r="K196" s="4" t="s">
        <v>332</v>
      </c>
    </row>
    <row r="197" spans="1:14" ht="24.75" customHeight="1" thickTop="1" thickBot="1" x14ac:dyDescent="0.35">
      <c r="A197" s="15">
        <f>COUNTIF(IndexTbl[unique],IndexTbl[[#This Row],[unique]])</f>
        <v>1</v>
      </c>
      <c r="B197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7" s="16" t="s">
        <v>306</v>
      </c>
      <c r="D197" s="16" t="b">
        <f>ISNUMBER(IndexTbl[[#This Row],[Class]])</f>
        <v>1</v>
      </c>
      <c r="E197" s="17" t="str">
        <f>TRIM(IndexTbl[[#This Row],[Prefix]]&amp;IF(NOT(IndexTbl[[#This Row],[Dewey Number]])," "&amp;IndexTbl[[#This Row],[Class]],""))</f>
        <v>TEEN</v>
      </c>
      <c r="F197" s="15" t="s">
        <v>205</v>
      </c>
      <c r="G197" s="15">
        <v>999.99</v>
      </c>
      <c r="H197" s="19" t="s">
        <v>251</v>
      </c>
      <c r="I197" s="18"/>
      <c r="J197" s="18" t="s">
        <v>307</v>
      </c>
      <c r="K197" s="4" t="s">
        <v>332</v>
      </c>
      <c r="L197" s="6"/>
    </row>
    <row r="198" spans="1:14" ht="24.75" customHeight="1" thickTop="1" thickBot="1" x14ac:dyDescent="0.35">
      <c r="A198" s="22">
        <f>COUNTIF(IndexTbl[unique],IndexTbl[[#This Row],[unique]])</f>
        <v>1</v>
      </c>
      <c r="B198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8" s="16" t="s">
        <v>302</v>
      </c>
      <c r="D198" s="16" t="b">
        <f>ISNUMBER(IndexTbl[[#This Row],[Class]])</f>
        <v>0</v>
      </c>
      <c r="E198" s="17" t="str">
        <f>TRIM(IndexTbl[[#This Row],[Prefix]]&amp;IF(NOT(IndexTbl[[#This Row],[Dewey Number]])," "&amp;IndexTbl[[#This Row],[Class]],""))</f>
        <v>J</v>
      </c>
      <c r="F198" s="15" t="s">
        <v>87</v>
      </c>
      <c r="G198" s="15"/>
      <c r="H198" s="19" t="s">
        <v>251</v>
      </c>
      <c r="I198" s="24" t="s">
        <v>333</v>
      </c>
      <c r="J198" s="24" t="s">
        <v>302</v>
      </c>
      <c r="K198" s="4" t="s">
        <v>332</v>
      </c>
      <c r="L198" s="6"/>
    </row>
    <row r="199" spans="1:14" ht="24.75" customHeight="1" thickTop="1" thickBot="1" x14ac:dyDescent="0.35">
      <c r="A199" s="22">
        <f>COUNTIF(IndexTbl[unique],IndexTbl[[#This Row],[unique]])</f>
        <v>1</v>
      </c>
      <c r="B199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199" s="16" t="s">
        <v>302</v>
      </c>
      <c r="D199" s="16" t="b">
        <f>ISNUMBER(IndexTbl[[#This Row],[Class]])</f>
        <v>0</v>
      </c>
      <c r="E199" s="17" t="str">
        <f>TRIM(IndexTbl[[#This Row],[Prefix]]&amp;IF(NOT(IndexTbl[[#This Row],[Dewey Number]])," "&amp;IndexTbl[[#This Row],[Class]],""))</f>
        <v>J SERIES</v>
      </c>
      <c r="F199" s="15" t="s">
        <v>87</v>
      </c>
      <c r="G199" s="15" t="s">
        <v>89</v>
      </c>
      <c r="H199" s="19" t="s">
        <v>251</v>
      </c>
      <c r="I199" s="24" t="s">
        <v>333</v>
      </c>
      <c r="J199" s="24" t="s">
        <v>324</v>
      </c>
      <c r="K199" s="4" t="s">
        <v>332</v>
      </c>
      <c r="L199" s="6"/>
    </row>
    <row r="200" spans="1:14" ht="24.75" customHeight="1" thickTop="1" thickBot="1" x14ac:dyDescent="0.35">
      <c r="A200" s="22">
        <f>COUNTIF(IndexTbl[unique],IndexTbl[[#This Row],[unique]])</f>
        <v>1</v>
      </c>
      <c r="B200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00" s="16" t="s">
        <v>302</v>
      </c>
      <c r="D200" s="16" t="b">
        <f>ISNUMBER(IndexTbl[[#This Row],[Class]])</f>
        <v>1</v>
      </c>
      <c r="E200" s="17" t="str">
        <f>TRIM(IndexTbl[[#This Row],[Prefix]]&amp;IF(NOT(IndexTbl[[#This Row],[Dewey Number]])," "&amp;IndexTbl[[#This Row],[Class]],""))</f>
        <v>J</v>
      </c>
      <c r="F200" s="15" t="s">
        <v>87</v>
      </c>
      <c r="G200" s="15">
        <v>999.99</v>
      </c>
      <c r="H200" s="19" t="s">
        <v>251</v>
      </c>
      <c r="I200" s="24" t="s">
        <v>333</v>
      </c>
      <c r="J200" s="24" t="s">
        <v>325</v>
      </c>
      <c r="K200" s="4" t="s">
        <v>332</v>
      </c>
      <c r="L200" s="6"/>
    </row>
    <row r="201" spans="1:14" ht="24.75" customHeight="1" thickTop="1" thickBot="1" x14ac:dyDescent="0.35">
      <c r="A201" s="15">
        <f>COUNTIF(IndexTbl[unique],IndexTbl[[#This Row],[unique]])</f>
        <v>1</v>
      </c>
      <c r="B20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201" s="16" t="s">
        <v>302</v>
      </c>
      <c r="D201" s="16" t="b">
        <f>ISNUMBER(IndexTbl[[#This Row],[Class]])</f>
        <v>0</v>
      </c>
      <c r="E201" s="17" t="str">
        <f>TRIM(IndexTbl[[#This Row],[Prefix]]&amp;IF(NOT(IndexTbl[[#This Row],[Dewey Number]])," "&amp;IndexTbl[[#This Row],[Class]],""))</f>
        <v>J</v>
      </c>
      <c r="F201" s="15" t="s">
        <v>87</v>
      </c>
      <c r="G201" s="15"/>
      <c r="H201" s="19" t="s">
        <v>251</v>
      </c>
      <c r="I201" s="24"/>
      <c r="J201" s="24" t="s">
        <v>302</v>
      </c>
      <c r="K201" s="4" t="s">
        <v>332</v>
      </c>
      <c r="L201" s="6"/>
    </row>
    <row r="202" spans="1:14" ht="24.75" customHeight="1" thickTop="1" thickBot="1" x14ac:dyDescent="0.35">
      <c r="A202" s="15">
        <f>COUNTIF(IndexTbl[unique],IndexTbl[[#This Row],[unique]])</f>
        <v>1</v>
      </c>
      <c r="B202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202" s="16" t="s">
        <v>302</v>
      </c>
      <c r="D202" s="16" t="b">
        <f>ISNUMBER(IndexTbl[[#This Row],[Class]])</f>
        <v>0</v>
      </c>
      <c r="E202" s="17" t="str">
        <f>TRIM(IndexTbl[[#This Row],[Prefix]]&amp;IF(NOT(IndexTbl[[#This Row],[Dewey Number]])," "&amp;IndexTbl[[#This Row],[Class]],""))</f>
        <v>J SERIES</v>
      </c>
      <c r="F202" s="15" t="s">
        <v>87</v>
      </c>
      <c r="G202" s="15" t="s">
        <v>89</v>
      </c>
      <c r="H202" s="19" t="s">
        <v>251</v>
      </c>
      <c r="I202" s="24"/>
      <c r="J202" s="24" t="s">
        <v>324</v>
      </c>
      <c r="K202" s="4" t="s">
        <v>332</v>
      </c>
      <c r="L202" s="6"/>
    </row>
    <row r="203" spans="1:14" ht="24.75" customHeight="1" thickTop="1" thickBot="1" x14ac:dyDescent="0.35">
      <c r="A203" s="15">
        <f>COUNTIF(IndexTbl[unique],IndexTbl[[#This Row],[unique]])</f>
        <v>1</v>
      </c>
      <c r="B20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03" s="16" t="s">
        <v>302</v>
      </c>
      <c r="D203" s="16" t="b">
        <f>ISNUMBER(IndexTbl[[#This Row],[Class]])</f>
        <v>1</v>
      </c>
      <c r="E203" s="17" t="str">
        <f>TRIM(IndexTbl[[#This Row],[Prefix]]&amp;IF(NOT(IndexTbl[[#This Row],[Dewey Number]])," "&amp;IndexTbl[[#This Row],[Class]],""))</f>
        <v>J</v>
      </c>
      <c r="F203" s="15" t="s">
        <v>87</v>
      </c>
      <c r="G203" s="15">
        <v>999.99</v>
      </c>
      <c r="H203" s="19" t="s">
        <v>251</v>
      </c>
      <c r="I203" s="24"/>
      <c r="J203" s="24" t="s">
        <v>325</v>
      </c>
      <c r="K203" s="4" t="s">
        <v>332</v>
      </c>
      <c r="L203" s="6"/>
    </row>
    <row r="204" spans="1:14" ht="24.75" customHeight="1" thickTop="1" thickBot="1" x14ac:dyDescent="0.35">
      <c r="A204" s="15">
        <f>COUNTIF(IndexTbl[unique],IndexTbl[[#This Row],[unique]])</f>
        <v>1</v>
      </c>
      <c r="B204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4" s="18" t="s">
        <v>47</v>
      </c>
      <c r="D204" s="18" t="b">
        <f>ISNUMBER(IndexTbl[[#This Row],[Class]])</f>
        <v>1</v>
      </c>
      <c r="E204" s="17" t="str">
        <f>TRIM(IndexTbl[[#This Row],[Prefix]]&amp;IF(NOT(IndexTbl[[#This Row],[Dewey Number]])," "&amp;IndexTbl[[#This Row],[Class]],""))</f>
        <v>J REF</v>
      </c>
      <c r="F204" s="19" t="s">
        <v>132</v>
      </c>
      <c r="G204" s="19">
        <v>999.99</v>
      </c>
      <c r="H204" s="19" t="s">
        <v>251</v>
      </c>
      <c r="I204" s="18"/>
      <c r="J204" s="18" t="s">
        <v>131</v>
      </c>
      <c r="K204" s="4" t="s">
        <v>332</v>
      </c>
      <c r="L204" s="6"/>
    </row>
    <row r="205" spans="1:14" ht="24.75" customHeight="1" thickTop="1" thickBot="1" x14ac:dyDescent="0.35">
      <c r="A205" s="15">
        <f>COUNTIF(IndexTbl[unique],IndexTbl[[#This Row],[unique]])</f>
        <v>1</v>
      </c>
      <c r="B205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5" s="18" t="s">
        <v>176</v>
      </c>
      <c r="D205" s="18" t="b">
        <f>ISNUMBER(IndexTbl[[#This Row],[Class]])</f>
        <v>1</v>
      </c>
      <c r="E205" s="17" t="str">
        <f>TRIM(IndexTbl[[#This Row],[Prefix]]&amp;IF(NOT(IndexTbl[[#This Row],[Dewey Number]])," "&amp;IndexTbl[[#This Row],[Class]],""))</f>
        <v>REF</v>
      </c>
      <c r="F205" s="19" t="s">
        <v>177</v>
      </c>
      <c r="G205" s="19">
        <v>999.99</v>
      </c>
      <c r="H205" s="19" t="s">
        <v>251</v>
      </c>
      <c r="I205" s="18"/>
      <c r="J205" s="18" t="s">
        <v>175</v>
      </c>
      <c r="K205" s="4" t="s">
        <v>332</v>
      </c>
      <c r="L205" s="6"/>
    </row>
    <row r="206" spans="1:14" ht="24.75" customHeight="1" thickTop="1" thickBot="1" x14ac:dyDescent="0.35">
      <c r="A206" s="15">
        <f>COUNTIF(IndexTbl[unique],IndexTbl[[#This Row],[unique]])</f>
        <v>1</v>
      </c>
      <c r="B206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6" s="18" t="s">
        <v>47</v>
      </c>
      <c r="D206" s="18" t="b">
        <f>ISNUMBER(IndexTbl[[#This Row],[Class]])</f>
        <v>1</v>
      </c>
      <c r="E206" s="17" t="str">
        <f>TRIM(IndexTbl[[#This Row],[Prefix]]&amp;IF(NOT(IndexTbl[[#This Row],[Dewey Number]])," "&amp;IndexTbl[[#This Row],[Class]],""))</f>
        <v>CD-ROM</v>
      </c>
      <c r="F206" s="19" t="s">
        <v>179</v>
      </c>
      <c r="G206" s="19">
        <v>999.99</v>
      </c>
      <c r="H206" s="19" t="s">
        <v>277</v>
      </c>
      <c r="I206" s="18"/>
      <c r="J206" s="18" t="s">
        <v>178</v>
      </c>
      <c r="K206" s="4" t="s">
        <v>332</v>
      </c>
      <c r="L206" s="6"/>
    </row>
    <row r="207" spans="1:14" ht="24.75" customHeight="1" thickTop="1" thickBot="1" x14ac:dyDescent="0.35">
      <c r="A207" s="15">
        <f>COUNTIF(IndexTbl[unique],IndexTbl[[#This Row],[unique]])</f>
        <v>1</v>
      </c>
      <c r="B207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7" s="18" t="s">
        <v>47</v>
      </c>
      <c r="D207" s="18" t="b">
        <f>ISNUMBER(IndexTbl[[#This Row],[Class]])</f>
        <v>1</v>
      </c>
      <c r="E207" s="17" t="str">
        <f>TRIM(IndexTbl[[#This Row],[Prefix]]&amp;IF(NOT(IndexTbl[[#This Row],[Dewey Number]])," "&amp;IndexTbl[[#This Row],[Class]],""))</f>
        <v>TEEN REF</v>
      </c>
      <c r="F207" s="19" t="s">
        <v>216</v>
      </c>
      <c r="G207" s="19">
        <v>999.99</v>
      </c>
      <c r="H207" s="19" t="s">
        <v>251</v>
      </c>
      <c r="I207" s="18"/>
      <c r="J207" s="18" t="s">
        <v>215</v>
      </c>
      <c r="K207" s="4" t="s">
        <v>332</v>
      </c>
      <c r="L207" s="6"/>
    </row>
    <row r="208" spans="1:14" ht="24.75" customHeight="1" thickTop="1" thickBot="1" x14ac:dyDescent="0.35">
      <c r="A208" s="15">
        <f>COUNTIF(IndexTbl[unique],IndexTbl[[#This Row],[unique]])</f>
        <v>1</v>
      </c>
      <c r="B208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08" s="18"/>
      <c r="D208" s="18" t="b">
        <f>ISNUMBER(IndexTbl[[#This Row],[Class]])</f>
        <v>0</v>
      </c>
      <c r="E208" s="17" t="str">
        <f>TRIM(IndexTbl[[#This Row],[Prefix]]&amp;IF(NOT(IndexTbl[[#This Row],[Dewey Number]])," "&amp;IndexTbl[[#This Row],[Class]],""))</f>
        <v>TEEN EXPLORE</v>
      </c>
      <c r="F208" s="19" t="s">
        <v>243</v>
      </c>
      <c r="G208" s="19"/>
      <c r="H208" s="19" t="s">
        <v>250</v>
      </c>
      <c r="I208" s="18"/>
      <c r="J208" s="18" t="s">
        <v>242</v>
      </c>
      <c r="K208" s="4" t="s">
        <v>332</v>
      </c>
      <c r="L208" s="6"/>
    </row>
    <row r="209" spans="1:12" ht="24.75" customHeight="1" thickTop="1" thickBot="1" x14ac:dyDescent="0.35">
      <c r="A209" s="15">
        <f>COUNTIF(IndexTbl[unique],IndexTbl[[#This Row],[unique]])</f>
        <v>1</v>
      </c>
      <c r="B209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09" s="18"/>
      <c r="D209" s="18" t="b">
        <f>ISNUMBER(IndexTbl[[#This Row],[Class]])</f>
        <v>0</v>
      </c>
      <c r="E209" s="17" t="str">
        <f>TRIM(IndexTbl[[#This Row],[Prefix]]&amp;IF(NOT(IndexTbl[[#This Row],[Dewey Number]])," "&amp;IndexTbl[[#This Row],[Class]],""))</f>
        <v>APBK</v>
      </c>
      <c r="F209" s="19" t="s">
        <v>245</v>
      </c>
      <c r="G209" s="19"/>
      <c r="H209" s="19" t="s">
        <v>250</v>
      </c>
      <c r="I209" s="20"/>
      <c r="J209" s="20" t="s">
        <v>244</v>
      </c>
      <c r="K209" s="4" t="s">
        <v>332</v>
      </c>
      <c r="L209" s="6"/>
    </row>
    <row r="210" spans="1:12" ht="24.75" customHeight="1" thickTop="1" thickBot="1" x14ac:dyDescent="0.35">
      <c r="A210" s="15">
        <f>COUNTIF(IndexTbl[unique],IndexTbl[[#This Row],[unique]])</f>
        <v>1</v>
      </c>
      <c r="B210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10" s="18"/>
      <c r="D210" s="18" t="b">
        <f>ISNUMBER(IndexTbl[[#This Row],[Class]])</f>
        <v>0</v>
      </c>
      <c r="E210" s="17" t="str">
        <f>TRIM(IndexTbl[[#This Row],[Prefix]]&amp;IF(NOT(IndexTbl[[#This Row],[Dewey Number]])," "&amp;IndexTbl[[#This Row],[Class]],""))</f>
        <v>TPBK</v>
      </c>
      <c r="F210" s="19" t="s">
        <v>247</v>
      </c>
      <c r="G210" s="19"/>
      <c r="H210" s="19" t="s">
        <v>250</v>
      </c>
      <c r="I210" s="20"/>
      <c r="J210" s="20" t="s">
        <v>246</v>
      </c>
      <c r="K210" s="4" t="s">
        <v>332</v>
      </c>
      <c r="L210" s="6"/>
    </row>
    <row r="211" spans="1:12" ht="24.75" customHeight="1" thickTop="1" thickBot="1" x14ac:dyDescent="0.35">
      <c r="A211" s="15">
        <f>COUNTIF(IndexTbl[unique],IndexTbl[[#This Row],[unique]])</f>
        <v>1</v>
      </c>
      <c r="B211" s="18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211" s="18" t="s">
        <v>327</v>
      </c>
      <c r="D211" s="27" t="b">
        <f>ISNUMBER(IndexTbl[[#This Row],[Class]])</f>
        <v>0</v>
      </c>
      <c r="E211" s="28" t="str">
        <f>TRIM(IndexTbl[[#This Row],[Prefix]]&amp;IF(NOT(IndexTbl[[#This Row],[Dewey Number]])," "&amp;IndexTbl[[#This Row],[Class]],""))</f>
        <v/>
      </c>
      <c r="F211" s="19"/>
      <c r="G211" s="19"/>
      <c r="H211" s="19"/>
      <c r="I211" s="18"/>
      <c r="J211" s="16" t="s">
        <v>334</v>
      </c>
      <c r="K211" s="4" t="s">
        <v>332</v>
      </c>
      <c r="L211" s="6"/>
    </row>
    <row r="212" spans="1:12" ht="24.75" customHeight="1" thickTop="1" x14ac:dyDescent="0.3">
      <c r="L212" s="6"/>
    </row>
    <row r="213" spans="1:12" ht="24.75" customHeight="1" x14ac:dyDescent="0.3">
      <c r="L213" s="6"/>
    </row>
    <row r="214" spans="1:12" ht="24.75" customHeight="1" x14ac:dyDescent="0.3">
      <c r="L214" s="6"/>
    </row>
    <row r="215" spans="1:12" ht="24.75" customHeight="1" x14ac:dyDescent="0.3">
      <c r="L215" s="6"/>
    </row>
    <row r="216" spans="1:12" ht="24.75" customHeight="1" x14ac:dyDescent="0.3">
      <c r="L216" s="6"/>
    </row>
    <row r="217" spans="1:12" ht="24.75" customHeight="1" x14ac:dyDescent="0.3">
      <c r="L217" s="6"/>
    </row>
    <row r="218" spans="1:12" ht="24.75" customHeight="1" x14ac:dyDescent="0.3">
      <c r="L218" s="6"/>
    </row>
    <row r="219" spans="1:12" ht="24.75" customHeight="1" x14ac:dyDescent="0.3">
      <c r="L219" s="6"/>
    </row>
    <row r="220" spans="1:12" ht="24.75" customHeight="1" x14ac:dyDescent="0.3">
      <c r="L220" s="6"/>
    </row>
    <row r="221" spans="1:12" ht="24.75" customHeight="1" x14ac:dyDescent="0.3">
      <c r="L221" s="6"/>
    </row>
    <row r="222" spans="1:12" ht="24.75" customHeight="1" x14ac:dyDescent="0.3">
      <c r="L222" s="6"/>
    </row>
  </sheetData>
  <sheetProtection formatCells="0" formatColumns="0" formatRows="0" insertRows="0" deleteRows="0" sort="0" autoFilter="0"/>
  <conditionalFormatting sqref="A3:K524 K2:K211">
    <cfRule type="expression" dxfId="3" priority="4">
      <formula>$A2&gt;1</formula>
    </cfRule>
  </conditionalFormatting>
  <conditionalFormatting sqref="K2:K211">
    <cfRule type="expression" dxfId="2" priority="3">
      <formula>NOT(IFERROR(MATCH($K2,INDIRECT("SectionsTbl[Section Description]"),0)&gt;0,FALSE))</formula>
    </cfRule>
  </conditionalFormatting>
  <conditionalFormatting sqref="C2:K2">
    <cfRule type="expression" dxfId="1" priority="2">
      <formula>$A2&gt;1</formula>
    </cfRule>
  </conditionalFormatting>
  <conditionalFormatting sqref="K2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211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2016-10-12T23:59:55Z</dcterms:modified>
</cp:coreProperties>
</file>