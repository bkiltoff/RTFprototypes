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drawings/drawing2.xml" ContentType="application/vnd.openxmlformats-officedocument.drawing+xml"/>
  <Override PartName="/xl/ctrlProps/ctrlProp4.xml" ContentType="application/vnd.ms-excel.controlproperties+xml"/>
  <Override PartName="/xl/tables/table1.xml" ContentType="application/vnd.openxmlformats-officedocument.spreadsheetml.table+xml"/>
  <Override PartName="/xl/drawings/drawing3.xml" ContentType="application/vnd.openxmlformats-officedocument.drawing+xml"/>
  <Override PartName="/xl/ctrlProps/ctrlProp5.xml" ContentType="application/vnd.ms-excel.controlproperties+xml"/>
  <Override PartName="/xl/tables/table2.xml" ContentType="application/vnd.openxmlformats-officedocument.spreadsheetml.table+xml"/>
  <Override PartName="/xl/tables/table3.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24226"/>
  <mc:AlternateContent xmlns:mc="http://schemas.openxmlformats.org/markup-compatibility/2006">
    <mc:Choice Requires="x15">
      <x15ac:absPath xmlns:x15ac="http://schemas.microsoft.com/office/spreadsheetml/2010/11/ac" url="\\Server1\Staff\BKiltoff\My Documents\GitHub\"/>
    </mc:Choice>
  </mc:AlternateContent>
  <bookViews>
    <workbookView xWindow="285" yWindow="615" windowWidth="12000" windowHeight="5310" activeTab="1"/>
  </bookViews>
  <sheets>
    <sheet name="Main" sheetId="16" r:id="rId1"/>
    <sheet name="Index" sheetId="13" r:id="rId2"/>
    <sheet name="Ranked Sections" sheetId="14" state="hidden" r:id="rId3"/>
  </sheets>
  <definedNames>
    <definedName name="_xlnm._FilterDatabase" localSheetId="1" hidden="1">Index!$R$3:$S$79</definedName>
    <definedName name="_xlnm._FilterDatabase" localSheetId="2" hidden="1">'Ranked Sections'!#REF!</definedName>
    <definedName name="callNumMask">Index!$C$1:$C$168</definedName>
  </definedNames>
  <calcPr calcId="152511" calcMode="manual"/>
  <fileRecoveryPr autoRecover="0"/>
</workbook>
</file>

<file path=xl/calcChain.xml><?xml version="1.0" encoding="utf-8"?>
<calcChain xmlns="http://schemas.openxmlformats.org/spreadsheetml/2006/main">
  <c r="B39" i="13" l="1"/>
  <c r="C39" i="13" s="1"/>
  <c r="B43" i="13"/>
  <c r="C43" i="13" s="1"/>
  <c r="B168" i="13" l="1"/>
  <c r="C168" i="13" s="1"/>
  <c r="B159" i="13" l="1"/>
  <c r="C159" i="13" s="1"/>
  <c r="B167" i="13" l="1"/>
  <c r="C167" i="13" s="1"/>
  <c r="B2" i="13" l="1"/>
  <c r="B3" i="13"/>
  <c r="B4" i="13"/>
  <c r="B5" i="13"/>
  <c r="B6" i="13"/>
  <c r="B7" i="13"/>
  <c r="B8" i="13"/>
  <c r="B9" i="13"/>
  <c r="B10" i="13"/>
  <c r="B11" i="13"/>
  <c r="B12" i="13"/>
  <c r="B13" i="13"/>
  <c r="B14" i="13"/>
  <c r="B15" i="13"/>
  <c r="B16" i="13"/>
  <c r="B17" i="13"/>
  <c r="B18" i="13"/>
  <c r="B19" i="13"/>
  <c r="B20" i="13"/>
  <c r="B21" i="13"/>
  <c r="B22" i="13"/>
  <c r="B23" i="13"/>
  <c r="B24" i="13"/>
  <c r="B25" i="13"/>
  <c r="B26" i="13"/>
  <c r="B27" i="13"/>
  <c r="B28" i="13"/>
  <c r="B29" i="13"/>
  <c r="B30" i="13"/>
  <c r="B31" i="13"/>
  <c r="B32" i="13"/>
  <c r="B33" i="13"/>
  <c r="B34" i="13"/>
  <c r="B35" i="13"/>
  <c r="B36" i="13"/>
  <c r="B37" i="13"/>
  <c r="B38" i="13"/>
  <c r="B40" i="13"/>
  <c r="B41" i="13"/>
  <c r="B42" i="13"/>
  <c r="B44" i="13"/>
  <c r="B45" i="13"/>
  <c r="B46" i="13"/>
  <c r="B47" i="13"/>
  <c r="B48" i="13"/>
  <c r="B49" i="13"/>
  <c r="B50" i="13"/>
  <c r="B51" i="13"/>
  <c r="B52" i="13"/>
  <c r="B53" i="13"/>
  <c r="B54" i="13"/>
  <c r="B55" i="13"/>
  <c r="B56" i="13"/>
  <c r="B57" i="13"/>
  <c r="B58" i="13"/>
  <c r="B59" i="13"/>
  <c r="B60" i="13"/>
  <c r="B61" i="13"/>
  <c r="B62" i="13"/>
  <c r="B63" i="13"/>
  <c r="B64" i="13"/>
  <c r="B65" i="13"/>
  <c r="B66" i="13"/>
  <c r="B67" i="13"/>
  <c r="B68" i="13"/>
  <c r="B69" i="13"/>
  <c r="B70" i="13"/>
  <c r="B71" i="13"/>
  <c r="B72" i="13"/>
  <c r="B73" i="13"/>
  <c r="B74" i="13"/>
  <c r="B75" i="13"/>
  <c r="B76" i="13"/>
  <c r="B77" i="13"/>
  <c r="B78" i="13"/>
  <c r="B79" i="13"/>
  <c r="B80" i="13"/>
  <c r="B81" i="13"/>
  <c r="B82" i="13"/>
  <c r="B83" i="13"/>
  <c r="B84" i="13"/>
  <c r="B85" i="13"/>
  <c r="B86" i="13"/>
  <c r="B87" i="13"/>
  <c r="B88" i="13"/>
  <c r="B89" i="13"/>
  <c r="B90" i="13"/>
  <c r="B91" i="13"/>
  <c r="B92" i="13"/>
  <c r="B93" i="13"/>
  <c r="B94" i="13"/>
  <c r="B95" i="13"/>
  <c r="B96" i="13"/>
  <c r="B97" i="13"/>
  <c r="B98" i="13"/>
  <c r="B99" i="13"/>
  <c r="B100" i="13"/>
  <c r="B101" i="13"/>
  <c r="B102" i="13"/>
  <c r="B103" i="13"/>
  <c r="B104" i="13"/>
  <c r="B105" i="13"/>
  <c r="B106" i="13"/>
  <c r="B107" i="13"/>
  <c r="B108" i="13"/>
  <c r="B109" i="13"/>
  <c r="B110" i="13"/>
  <c r="B111" i="13"/>
  <c r="B112" i="13"/>
  <c r="B113" i="13"/>
  <c r="B114" i="13"/>
  <c r="B115" i="13"/>
  <c r="B116" i="13"/>
  <c r="B117" i="13"/>
  <c r="B118" i="13"/>
  <c r="B119" i="13"/>
  <c r="B120" i="13"/>
  <c r="B121" i="13"/>
  <c r="B122" i="13"/>
  <c r="B123" i="13"/>
  <c r="B124" i="13"/>
  <c r="B125" i="13"/>
  <c r="B126" i="13"/>
  <c r="B127" i="13"/>
  <c r="B128" i="13"/>
  <c r="B129" i="13"/>
  <c r="B130" i="13"/>
  <c r="B131" i="13"/>
  <c r="B132" i="13"/>
  <c r="B133" i="13"/>
  <c r="B134" i="13"/>
  <c r="B135" i="13"/>
  <c r="B136" i="13"/>
  <c r="B137" i="13"/>
  <c r="B138" i="13"/>
  <c r="B139" i="13"/>
  <c r="B140" i="13"/>
  <c r="B141" i="13"/>
  <c r="B142" i="13"/>
  <c r="B143" i="13"/>
  <c r="B144" i="13"/>
  <c r="B145" i="13"/>
  <c r="B146" i="13"/>
  <c r="B147" i="13"/>
  <c r="B148" i="13"/>
  <c r="B149" i="13"/>
  <c r="B150" i="13"/>
  <c r="B151" i="13"/>
  <c r="B152" i="13"/>
  <c r="B153" i="13"/>
  <c r="B154" i="13"/>
  <c r="B155" i="13"/>
  <c r="B156" i="13"/>
  <c r="B157" i="13"/>
  <c r="B158" i="13"/>
  <c r="B160" i="13"/>
  <c r="B161" i="13"/>
  <c r="B162" i="13"/>
  <c r="B163" i="13"/>
  <c r="B164" i="13"/>
  <c r="B165" i="13"/>
  <c r="B166" i="13"/>
  <c r="C48" i="13" l="1"/>
  <c r="C46" i="13"/>
  <c r="C45" i="13"/>
  <c r="C44" i="13"/>
  <c r="C42" i="13"/>
  <c r="C41" i="13"/>
  <c r="C40" i="13"/>
  <c r="C38" i="13"/>
  <c r="C34" i="13"/>
  <c r="C33" i="13"/>
  <c r="C32" i="13"/>
  <c r="C31" i="13"/>
  <c r="C30" i="13"/>
  <c r="C14" i="13"/>
  <c r="C13" i="13"/>
  <c r="C12" i="13"/>
  <c r="C10" i="13"/>
  <c r="C24" i="13"/>
  <c r="C23" i="13"/>
  <c r="C22" i="13"/>
  <c r="C21" i="13"/>
  <c r="C9" i="13"/>
  <c r="C8" i="13"/>
  <c r="C7" i="13"/>
  <c r="C6" i="13"/>
  <c r="C5" i="13"/>
  <c r="C4" i="13"/>
  <c r="C3" i="13"/>
  <c r="C2" i="13"/>
  <c r="C15" i="13"/>
  <c r="C16" i="13"/>
  <c r="C17" i="13"/>
  <c r="C18" i="13"/>
  <c r="C19" i="13"/>
  <c r="C20" i="13"/>
  <c r="C25" i="13"/>
  <c r="C26" i="13"/>
  <c r="C27" i="13"/>
  <c r="C28" i="13"/>
  <c r="C29" i="13"/>
  <c r="C35" i="13"/>
  <c r="C36" i="13"/>
  <c r="C37" i="13"/>
  <c r="C49" i="13"/>
  <c r="C50" i="13"/>
  <c r="C51" i="13"/>
  <c r="C52" i="13"/>
  <c r="C53" i="13"/>
  <c r="C54" i="13"/>
  <c r="C55" i="13"/>
  <c r="C56" i="13"/>
  <c r="C57" i="13"/>
  <c r="C58" i="13"/>
  <c r="C59" i="13"/>
  <c r="C60" i="13"/>
  <c r="C61" i="13"/>
  <c r="C62" i="13"/>
  <c r="C63" i="13"/>
  <c r="C64" i="13"/>
  <c r="C65" i="13"/>
  <c r="C66" i="13"/>
  <c r="C67" i="13"/>
  <c r="C68" i="13"/>
  <c r="C69" i="13"/>
  <c r="C70" i="13"/>
  <c r="C71" i="13"/>
  <c r="C72" i="13"/>
  <c r="C73" i="13"/>
  <c r="C74" i="13"/>
  <c r="C75" i="13"/>
  <c r="C76" i="13"/>
  <c r="C77" i="13"/>
  <c r="C78" i="13"/>
  <c r="C79" i="13"/>
  <c r="C80" i="13"/>
  <c r="C81" i="13"/>
  <c r="C82" i="13"/>
  <c r="C83" i="13"/>
  <c r="C84" i="13"/>
  <c r="C85" i="13"/>
  <c r="C86" i="13"/>
  <c r="C87" i="13"/>
  <c r="C88" i="13"/>
  <c r="C89" i="13"/>
  <c r="C90" i="13"/>
  <c r="C91" i="13"/>
  <c r="C92" i="13"/>
  <c r="C93" i="13"/>
  <c r="C94" i="13"/>
  <c r="C95" i="13"/>
  <c r="C96" i="13"/>
  <c r="C97" i="13"/>
  <c r="C98" i="13"/>
  <c r="C99" i="13"/>
  <c r="C100" i="13"/>
  <c r="C101" i="13"/>
  <c r="C102" i="13"/>
  <c r="C103" i="13"/>
  <c r="C104" i="13"/>
  <c r="C105" i="13"/>
  <c r="C106" i="13"/>
  <c r="C107" i="13"/>
  <c r="C108" i="13"/>
  <c r="C109" i="13"/>
  <c r="C110" i="13"/>
  <c r="C111" i="13"/>
  <c r="C112" i="13"/>
  <c r="C113" i="13"/>
  <c r="C114" i="13"/>
  <c r="C115" i="13"/>
  <c r="C116" i="13"/>
  <c r="C117" i="13"/>
  <c r="C118" i="13"/>
  <c r="C119" i="13"/>
  <c r="C120" i="13"/>
  <c r="C121" i="13"/>
  <c r="C122" i="13"/>
  <c r="C123" i="13"/>
  <c r="C124" i="13"/>
  <c r="C125" i="13"/>
  <c r="C126" i="13"/>
  <c r="C127" i="13"/>
  <c r="C128" i="13"/>
  <c r="C129" i="13"/>
  <c r="C130" i="13"/>
  <c r="C131" i="13"/>
  <c r="C132" i="13"/>
  <c r="C133" i="13"/>
  <c r="C134" i="13"/>
  <c r="C135" i="13"/>
  <c r="C136" i="13"/>
  <c r="C137" i="13"/>
  <c r="C138" i="13"/>
  <c r="C139" i="13"/>
  <c r="C140" i="13"/>
  <c r="C141" i="13"/>
  <c r="C142" i="13"/>
  <c r="C143" i="13"/>
  <c r="C144" i="13"/>
  <c r="C145" i="13"/>
  <c r="C146" i="13"/>
  <c r="C147" i="13"/>
  <c r="C148" i="13"/>
  <c r="C149" i="13"/>
  <c r="C150" i="13"/>
  <c r="C151" i="13"/>
  <c r="C152" i="13"/>
  <c r="C153" i="13"/>
  <c r="C154" i="13"/>
  <c r="C155" i="13"/>
  <c r="C156" i="13"/>
  <c r="C157" i="13"/>
  <c r="C158" i="13"/>
  <c r="C160" i="13"/>
  <c r="C161" i="13"/>
  <c r="C162" i="13"/>
  <c r="C163" i="13"/>
  <c r="C164" i="13"/>
  <c r="C165" i="13"/>
  <c r="C166" i="13"/>
  <c r="C11" i="13" l="1"/>
  <c r="C47" i="13"/>
</calcChain>
</file>

<file path=xl/sharedStrings.xml><?xml version="1.0" encoding="utf-8"?>
<sst xmlns="http://schemas.openxmlformats.org/spreadsheetml/2006/main" count="1030" uniqueCount="327">
  <si>
    <t>Readers</t>
  </si>
  <si>
    <t>Fiction Mystery</t>
  </si>
  <si>
    <t>Fiction Fantasy</t>
  </si>
  <si>
    <t>Graphic Novel</t>
  </si>
  <si>
    <t>Fiction Sci Fi</t>
  </si>
  <si>
    <t>DVD Action</t>
  </si>
  <si>
    <t>DVD Comedy</t>
  </si>
  <si>
    <t>DVD Musical</t>
  </si>
  <si>
    <t>DVD Drama</t>
  </si>
  <si>
    <t>DVD Family</t>
  </si>
  <si>
    <t>DVD Fantasy</t>
  </si>
  <si>
    <t>DVD Foreign</t>
  </si>
  <si>
    <t>DVD Horror</t>
  </si>
  <si>
    <t>DVD Mystery</t>
  </si>
  <si>
    <t>DVD Science Fiction</t>
  </si>
  <si>
    <t>DVD Suspense</t>
  </si>
  <si>
    <t>DVD Television Series</t>
  </si>
  <si>
    <t>DVD War</t>
  </si>
  <si>
    <t>DVD Western</t>
  </si>
  <si>
    <t>Nonfiction</t>
  </si>
  <si>
    <t>Biography</t>
  </si>
  <si>
    <t>Teen Audiobook</t>
  </si>
  <si>
    <t>Teen Fiction</t>
  </si>
  <si>
    <t>Large Type</t>
  </si>
  <si>
    <t>Fiction</t>
  </si>
  <si>
    <t>Audiobook Fiction</t>
  </si>
  <si>
    <t>Juvenile Fiction</t>
  </si>
  <si>
    <t>Juvenile DVD</t>
  </si>
  <si>
    <t>Juvenile Compact Disc</t>
  </si>
  <si>
    <t>Easy Countdown</t>
  </si>
  <si>
    <t>Easy</t>
  </si>
  <si>
    <t>Easy Non-fiction</t>
  </si>
  <si>
    <t>Easy Audiobook</t>
  </si>
  <si>
    <t>International Chinese</t>
  </si>
  <si>
    <t>International Korean</t>
  </si>
  <si>
    <t>International Japanese</t>
  </si>
  <si>
    <t>International Spanish</t>
  </si>
  <si>
    <t>International Vietnamese</t>
  </si>
  <si>
    <t>Compact Disc</t>
  </si>
  <si>
    <t>Magazine</t>
  </si>
  <si>
    <t>Juvenile Audiobook</t>
  </si>
  <si>
    <t>International Russian</t>
  </si>
  <si>
    <t>New Books</t>
  </si>
  <si>
    <t>Audiobook</t>
  </si>
  <si>
    <t>DVD Educational</t>
  </si>
  <si>
    <t>Easy Non-Fiction</t>
  </si>
  <si>
    <t>Juvenile Biography</t>
  </si>
  <si>
    <t>Juvenile DVD Educational</t>
  </si>
  <si>
    <t>Juvenile Large Type</t>
  </si>
  <si>
    <t>Juvenile Magazine</t>
  </si>
  <si>
    <t>Juvenile Nonfiction</t>
  </si>
  <si>
    <t>Reference</t>
  </si>
  <si>
    <t>Teen Biography</t>
  </si>
  <si>
    <t>Teen Large Type</t>
  </si>
  <si>
    <t>Teen Nonfiction</t>
  </si>
  <si>
    <t/>
  </si>
  <si>
    <t>DVD</t>
  </si>
  <si>
    <t xml:space="preserve">J </t>
  </si>
  <si>
    <t>E</t>
  </si>
  <si>
    <t>Easy Board Books</t>
  </si>
  <si>
    <t>BOARD</t>
  </si>
  <si>
    <t>Easy Biography</t>
  </si>
  <si>
    <t xml:space="preserve">E </t>
  </si>
  <si>
    <t>BIO</t>
  </si>
  <si>
    <t>Easy Books on CD Fiction</t>
  </si>
  <si>
    <t>E CD</t>
  </si>
  <si>
    <t>FIC</t>
  </si>
  <si>
    <t>Easy Books on CD Non-Fiction</t>
  </si>
  <si>
    <t>Easy Books on CD Biography</t>
  </si>
  <si>
    <t>Easy Korean Fiction</t>
  </si>
  <si>
    <t>E INTL-KOR</t>
  </si>
  <si>
    <t>Easy Japanese Fiction</t>
  </si>
  <si>
    <t>E INTL-JPN</t>
  </si>
  <si>
    <t>Easy Chinese Fiction</t>
  </si>
  <si>
    <t>E INTL-CHI</t>
  </si>
  <si>
    <t>Easy Russian Fiction</t>
  </si>
  <si>
    <t>E INTL-RUS</t>
  </si>
  <si>
    <t>Easy Spanish Fiction</t>
  </si>
  <si>
    <t>E INTL-SPA</t>
  </si>
  <si>
    <t>Easy Vietnamese Fiction</t>
  </si>
  <si>
    <t>E INTL-VIE</t>
  </si>
  <si>
    <t>Easy Korean Non-Fiction</t>
  </si>
  <si>
    <t>Easy Japanese Non-Fiction</t>
  </si>
  <si>
    <t>Easy Chinese Non-Fiction</t>
  </si>
  <si>
    <t xml:space="preserve">E INTL-CHI </t>
  </si>
  <si>
    <t>Easy Russian Non-Fiction</t>
  </si>
  <si>
    <t xml:space="preserve">E INTL-RUS </t>
  </si>
  <si>
    <t>Easy Spanish Non-Fiction</t>
  </si>
  <si>
    <t xml:space="preserve">E INTL-SPA </t>
  </si>
  <si>
    <t>Easy Vietnamese Non-Fiction</t>
  </si>
  <si>
    <t xml:space="preserve">E INTL-VIE </t>
  </si>
  <si>
    <t>J Fiction</t>
  </si>
  <si>
    <t>J</t>
  </si>
  <si>
    <t>J Fiction Series</t>
  </si>
  <si>
    <t>SERIES</t>
  </si>
  <si>
    <t>J Non-Fiction</t>
  </si>
  <si>
    <t>J Books on CD Fiction</t>
  </si>
  <si>
    <t>J CD</t>
  </si>
  <si>
    <t>J Books on CD Non-Fiction</t>
  </si>
  <si>
    <t>J Books on CD Biography</t>
  </si>
  <si>
    <t>J DVD  (entertainment)</t>
  </si>
  <si>
    <t>J DVD</t>
  </si>
  <si>
    <t>J DVD Non-fiction</t>
  </si>
  <si>
    <t>J DVD-ED</t>
  </si>
  <si>
    <t>J LGE-TYPE Fiction</t>
  </si>
  <si>
    <t>J LGE-TYPE</t>
  </si>
  <si>
    <t>J LGE-TYPE Non-Fiction</t>
  </si>
  <si>
    <t>J LGE-TYPE Biography</t>
  </si>
  <si>
    <t>J Biography</t>
  </si>
  <si>
    <t>Juvenile  Korean Fiction</t>
  </si>
  <si>
    <t>J INTL-KOR</t>
  </si>
  <si>
    <t>Juvenile  Japanese Fiction</t>
  </si>
  <si>
    <t>J INTL-JPN</t>
  </si>
  <si>
    <t>Juvenile  Chinese Fiction</t>
  </si>
  <si>
    <t>J INTL-CHI</t>
  </si>
  <si>
    <t>Juvenile  Russian Fiction</t>
  </si>
  <si>
    <t>J INTL-RUS</t>
  </si>
  <si>
    <t>Juvenile  Spanish Fiction</t>
  </si>
  <si>
    <t>J INTL-SPA</t>
  </si>
  <si>
    <t>Juvenile  Vietnamese Fiction</t>
  </si>
  <si>
    <t>J INTL-VIE</t>
  </si>
  <si>
    <t>Juvenile  Korean Non-Fiction</t>
  </si>
  <si>
    <t>Juvenile  Japanese Non-Fiction</t>
  </si>
  <si>
    <t>Juvenile  Chinese Non-Fiction</t>
  </si>
  <si>
    <t>Juvenile  Russian Non-Fiction</t>
  </si>
  <si>
    <t>Juvenile  Spanish Non-Fiction</t>
  </si>
  <si>
    <t>Juvenile  Vietnamese Non-Fiction</t>
  </si>
  <si>
    <t>Juvenile  Korean Biography</t>
  </si>
  <si>
    <t>Juvenile  Japanese Biography</t>
  </si>
  <si>
    <t>Juvenile  Chinese Biography</t>
  </si>
  <si>
    <t>Juvenile  Russian Biography</t>
  </si>
  <si>
    <t>Juvenile  Spanish Biography</t>
  </si>
  <si>
    <t>Juvenile  Vietnamese Biography</t>
  </si>
  <si>
    <t>J Music CDs</t>
  </si>
  <si>
    <t>OH</t>
  </si>
  <si>
    <t>OM</t>
  </si>
  <si>
    <t>J Reference</t>
  </si>
  <si>
    <t>J REF</t>
  </si>
  <si>
    <t>Adult Fiction</t>
  </si>
  <si>
    <t>Adult Non-Fiction</t>
  </si>
  <si>
    <t>Adult Biography</t>
  </si>
  <si>
    <t>Adult CD Fiction</t>
  </si>
  <si>
    <t>CD</t>
  </si>
  <si>
    <t>Adult CD Non-Fiction</t>
  </si>
  <si>
    <t>Adult CD Biography</t>
  </si>
  <si>
    <t>Adult DVD</t>
  </si>
  <si>
    <t>Adult DVD-ED</t>
  </si>
  <si>
    <t>DVD-ED</t>
  </si>
  <si>
    <t>Adult LGE-TYPE Fiction</t>
  </si>
  <si>
    <t>LGE-TYPE</t>
  </si>
  <si>
    <t>Adult LGE-TYPE Non-Fiction</t>
  </si>
  <si>
    <t>Adult LGE-TYPE Biography</t>
  </si>
  <si>
    <t>Adult Music CDs</t>
  </si>
  <si>
    <t xml:space="preserve">A </t>
  </si>
  <si>
    <t>B</t>
  </si>
  <si>
    <t>C</t>
  </si>
  <si>
    <t>D</t>
  </si>
  <si>
    <t>DG</t>
  </si>
  <si>
    <t>DO</t>
  </si>
  <si>
    <t>DP</t>
  </si>
  <si>
    <t>DS</t>
  </si>
  <si>
    <t>DV</t>
  </si>
  <si>
    <t>DW</t>
  </si>
  <si>
    <t>DX</t>
  </si>
  <si>
    <t>F</t>
  </si>
  <si>
    <t>G</t>
  </si>
  <si>
    <t>H</t>
  </si>
  <si>
    <t>K</t>
  </si>
  <si>
    <t>L</t>
  </si>
  <si>
    <t xml:space="preserve">M  </t>
  </si>
  <si>
    <t>MA</t>
  </si>
  <si>
    <t>MC</t>
  </si>
  <si>
    <t>ME</t>
  </si>
  <si>
    <t>MH</t>
  </si>
  <si>
    <t>MI</t>
  </si>
  <si>
    <t>MR</t>
  </si>
  <si>
    <t>P</t>
  </si>
  <si>
    <t>R</t>
  </si>
  <si>
    <t>S</t>
  </si>
  <si>
    <t>U</t>
  </si>
  <si>
    <t>Adult Reference</t>
  </si>
  <si>
    <t xml:space="preserve">Reference </t>
  </si>
  <si>
    <t>REF</t>
  </si>
  <si>
    <t>Adult CD-ROMS</t>
  </si>
  <si>
    <t>CD-ROM</t>
  </si>
  <si>
    <t>Adult Korean Fiction</t>
  </si>
  <si>
    <t>INTL-KOR</t>
  </si>
  <si>
    <t xml:space="preserve">FIC </t>
  </si>
  <si>
    <t>Adult Japanese Fiction</t>
  </si>
  <si>
    <t>INTL-JPN</t>
  </si>
  <si>
    <t>Adult Chinese Fiction</t>
  </si>
  <si>
    <t>INTL-CHI</t>
  </si>
  <si>
    <t>Adult Russian Fiction</t>
  </si>
  <si>
    <t>INTL-RUS</t>
  </si>
  <si>
    <t>Adult Spanish Fiction</t>
  </si>
  <si>
    <t>INTL-SPA</t>
  </si>
  <si>
    <t>Adult Vietnamese Fiction</t>
  </si>
  <si>
    <t>INTL-VIE</t>
  </si>
  <si>
    <t>Adult Korean Non-Fiction</t>
  </si>
  <si>
    <t>Adult Japanese Non-Fiction</t>
  </si>
  <si>
    <t>Adult Chinese Non-Fiction</t>
  </si>
  <si>
    <t>Adult Russian Non-Fiction</t>
  </si>
  <si>
    <t>Adult Spanish Non-Fiction</t>
  </si>
  <si>
    <t>Adult Vietnamese Non-Fiction</t>
  </si>
  <si>
    <t>Adult  Korean Biography</t>
  </si>
  <si>
    <t>Adult   Japanese Biography</t>
  </si>
  <si>
    <t>Adult   Chinese Biography</t>
  </si>
  <si>
    <t>Adult   Russian Biography</t>
  </si>
  <si>
    <t>Adult   Spanish Biography</t>
  </si>
  <si>
    <t>Adult  Vietnamese Biography</t>
  </si>
  <si>
    <t>TEEN</t>
  </si>
  <si>
    <t>Teen Non-Fiction</t>
  </si>
  <si>
    <t>Teen Books on CD Fiction</t>
  </si>
  <si>
    <t>TEEN CD</t>
  </si>
  <si>
    <t>Teen Books on CD Non- Fiction</t>
  </si>
  <si>
    <t>Teen Books on CD Biography</t>
  </si>
  <si>
    <t>Teen LGE-TYPE Fiction</t>
  </si>
  <si>
    <t>TEEN LGE-TYPE</t>
  </si>
  <si>
    <t>Teen LGE-TYPE Non-Fiction</t>
  </si>
  <si>
    <t>Teen LGE-TYPE Biography</t>
  </si>
  <si>
    <t>Teen Reference</t>
  </si>
  <si>
    <t>TEEN REF</t>
  </si>
  <si>
    <t>Teen Korean Fiction</t>
  </si>
  <si>
    <t>TEEN INTL-KOR</t>
  </si>
  <si>
    <t>Teen  Japanese Fiction</t>
  </si>
  <si>
    <t>TEEN INTL-JPN</t>
  </si>
  <si>
    <t>Teen  Chinese Fiction</t>
  </si>
  <si>
    <t>TEEN INTL-CHI</t>
  </si>
  <si>
    <t>Teen  Russian Fiction</t>
  </si>
  <si>
    <t>TEEN INTL-RUS</t>
  </si>
  <si>
    <t>Teen  Spanish Fiction</t>
  </si>
  <si>
    <t>TEEN INTL-SPA</t>
  </si>
  <si>
    <t>Teen  Vietnamese Fiction</t>
  </si>
  <si>
    <t>TEEN INTL-VIE</t>
  </si>
  <si>
    <t>Teen  Korean Non-Fiction</t>
  </si>
  <si>
    <t>Teen  Japanese Non-Fiction</t>
  </si>
  <si>
    <t>Teen  Chinese Non-Fiction</t>
  </si>
  <si>
    <t>Teen Russian Non-Fiction</t>
  </si>
  <si>
    <t>Teen  Spanish Non-Fiction</t>
  </si>
  <si>
    <t>Teen  Vietnamese Non-Fiction</t>
  </si>
  <si>
    <t>Teen Korean Biography</t>
  </si>
  <si>
    <t xml:space="preserve">TEEN INTL-KOR </t>
  </si>
  <si>
    <t>Teen Japanese Biography</t>
  </si>
  <si>
    <t>Teen Chinese Biography</t>
  </si>
  <si>
    <t>Teen  Russian Biography</t>
  </si>
  <si>
    <t>Teen Spanish Biography</t>
  </si>
  <si>
    <t>Teen Vietnamese Biography</t>
  </si>
  <si>
    <t>Teen Explore books</t>
  </si>
  <si>
    <t>TEEN EXPLORE</t>
  </si>
  <si>
    <t>Adult Paperback</t>
  </si>
  <si>
    <t>APBK</t>
  </si>
  <si>
    <t>Teen Paperback</t>
  </si>
  <si>
    <t>TPBK</t>
  </si>
  <si>
    <t>Easy Fiction</t>
  </si>
  <si>
    <t>{},{DEPAOLA},{}</t>
  </si>
  <si>
    <t>{},{},{}</t>
  </si>
  <si>
    <t>{},{GREEN},{}</t>
  </si>
  <si>
    <t>{KENNEDY},{SMITH},{}</t>
  </si>
  <si>
    <t>{},{},{LEM123}</t>
  </si>
  <si>
    <t>{},{},{AME521}</t>
  </si>
  <si>
    <t>{KENNEDY},{},{MAR139}</t>
  </si>
  <si>
    <t>{},{LEE},{}</t>
  </si>
  <si>
    <t>{},{ROWLING},{}</t>
  </si>
  <si>
    <t>{},{},{ABB610}</t>
  </si>
  <si>
    <t>{},{},{ELK295}</t>
  </si>
  <si>
    <t>{BENTLEY},{},{MAR139}</t>
  </si>
  <si>
    <t>{},{},{ASB739}</t>
  </si>
  <si>
    <t>{},{},{MIS768}</t>
  </si>
  <si>
    <t>{},{RASKIN},{}</t>
  </si>
  <si>
    <t>{},{STEPANE},{}</t>
  </si>
  <si>
    <t>{EARHART},{SMITH},{}</t>
  </si>
  <si>
    <t>{},{},{ABO393}</t>
  </si>
  <si>
    <t>{},{STEELE},{}</t>
  </si>
  <si>
    <t>{},{DIAMOND},{}</t>
  </si>
  <si>
    <t>{},{},{AGE999}</t>
  </si>
  <si>
    <t>{},{},{SPA625}</t>
  </si>
  <si>
    <t>{EARHART},{},{SPA625}</t>
  </si>
  <si>
    <t>{},{},{SNO535}</t>
  </si>
  <si>
    <t>{},{},{ALX562}</t>
  </si>
  <si>
    <t>{},{SMITH},{}</t>
  </si>
  <si>
    <t>{},{JONES},{}</t>
  </si>
  <si>
    <t>{},{},{BAX122}</t>
  </si>
  <si>
    <t>{},{},{INS998}</t>
  </si>
  <si>
    <t>{},{MEYERS},{}</t>
  </si>
  <si>
    <t>{},{HANSON},{}</t>
  </si>
  <si>
    <t>{},{},{ABC123}</t>
  </si>
  <si>
    <t>{},{},{FGM299}</t>
  </si>
  <si>
    <t>{HEPBURN},{},{ABC123}</t>
  </si>
  <si>
    <t>{},{JACKSON},{}</t>
  </si>
  <si>
    <t>{HEPBURN},{SMITH},{}</t>
  </si>
  <si>
    <t>Cutter [{Subject},{Author},{Other}]</t>
  </si>
  <si>
    <t>unknown</t>
  </si>
  <si>
    <t>Easy Countdown Fiction</t>
  </si>
  <si>
    <t>Easy Countdown NonFiction</t>
  </si>
  <si>
    <t>{},{},{THE TITLE}</t>
  </si>
  <si>
    <t>Collection Name</t>
  </si>
  <si>
    <t>Section Description</t>
  </si>
  <si>
    <t>Shelf Location</t>
  </si>
  <si>
    <t>Call Number Mask</t>
  </si>
  <si>
    <t>Dewey Number</t>
  </si>
  <si>
    <t>Bad Data</t>
  </si>
  <si>
    <t>NoCallNumber</t>
  </si>
  <si>
    <t>Graphic Novels</t>
  </si>
  <si>
    <t>In Library Use Only</t>
  </si>
  <si>
    <t>Valid Shelf Locations</t>
  </si>
  <si>
    <t>{LITTLER},{ROSE},{}</t>
  </si>
  <si>
    <t>Easy Readers Fiction</t>
  </si>
  <si>
    <t>Easy Readers NonFiction</t>
  </si>
  <si>
    <t>Bad RTF Data</t>
  </si>
  <si>
    <t>Helfpul Description</t>
  </si>
  <si>
    <t>Prefix</t>
  </si>
  <si>
    <t>Class</t>
  </si>
  <si>
    <t>DVD Anime</t>
  </si>
  <si>
    <t>Juvenile Graphic Novel</t>
  </si>
  <si>
    <t>Teen Magazines</t>
  </si>
  <si>
    <t>Teen Classics Paperbacks</t>
  </si>
  <si>
    <t>Adult Graphic Novel</t>
  </si>
  <si>
    <t>Best Bets</t>
  </si>
  <si>
    <t>Big Read</t>
  </si>
  <si>
    <t xml:space="preserve">Childcare </t>
  </si>
  <si>
    <t>Children's Paperbacks</t>
  </si>
  <si>
    <t>English as a second language</t>
  </si>
  <si>
    <t>International Tagalog</t>
  </si>
  <si>
    <t>Spanish Language Paperbacks</t>
  </si>
  <si>
    <t>Teen Explore</t>
  </si>
  <si>
    <t>Teen Graphic Novel</t>
  </si>
  <si>
    <t>Teen Paperbacks</t>
  </si>
</sst>
</file>

<file path=xl/styles.xml><?xml version="1.0" encoding="utf-8"?>
<styleSheet xmlns="http://schemas.openxmlformats.org/spreadsheetml/2006/main" xmlns:mc="http://schemas.openxmlformats.org/markup-compatibility/2006" xmlns:x14ac="http://schemas.microsoft.com/office/spreadsheetml/2009/9/ac" mc:Ignorable="x14ac">
  <fonts count="13" x14ac:knownFonts="1">
    <font>
      <sz val="10"/>
      <name val="Arial"/>
    </font>
    <font>
      <sz val="11"/>
      <color theme="1"/>
      <name val="Calibri"/>
      <family val="2"/>
      <scheme val="minor"/>
    </font>
    <font>
      <sz val="11"/>
      <color theme="1"/>
      <name val="Calibri"/>
      <family val="2"/>
      <scheme val="minor"/>
    </font>
    <font>
      <sz val="11"/>
      <color theme="1"/>
      <name val="Calibri"/>
      <family val="2"/>
      <scheme val="minor"/>
    </font>
    <font>
      <sz val="14"/>
      <color theme="1"/>
      <name val="Calibri"/>
      <family val="2"/>
      <scheme val="minor"/>
    </font>
    <font>
      <sz val="12"/>
      <color theme="1"/>
      <name val="Calibri"/>
      <family val="2"/>
      <scheme val="minor"/>
    </font>
    <font>
      <sz val="14"/>
      <name val="Arial"/>
      <family val="2"/>
    </font>
    <font>
      <sz val="10"/>
      <name val="Arial"/>
      <family val="2"/>
    </font>
    <font>
      <sz val="12"/>
      <color theme="1"/>
      <name val="Calibri"/>
      <scheme val="minor"/>
    </font>
    <font>
      <sz val="10"/>
      <color theme="1"/>
      <name val="Arial"/>
      <family val="2"/>
    </font>
    <font>
      <sz val="14"/>
      <name val="Arial"/>
    </font>
    <font>
      <sz val="10"/>
      <color rgb="FF000000"/>
      <name val="Arial"/>
      <family val="2"/>
    </font>
    <font>
      <b/>
      <sz val="11"/>
      <color theme="0"/>
      <name val="Calibri"/>
      <family val="2"/>
      <scheme val="minor"/>
    </font>
  </fonts>
  <fills count="3">
    <fill>
      <patternFill patternType="none"/>
    </fill>
    <fill>
      <patternFill patternType="gray125"/>
    </fill>
    <fill>
      <patternFill patternType="solid">
        <fgColor rgb="FFA5A5A5"/>
      </patternFill>
    </fill>
  </fills>
  <borders count="4">
    <border>
      <left/>
      <right/>
      <top/>
      <bottom/>
      <diagonal/>
    </border>
    <border>
      <left style="thin">
        <color theme="4" tint="0.39997558519241921"/>
      </left>
      <right/>
      <top style="thin">
        <color theme="4" tint="0.39997558519241921"/>
      </top>
      <bottom style="thin">
        <color theme="4" tint="0.39997558519241921"/>
      </bottom>
      <diagonal/>
    </border>
    <border>
      <left/>
      <right style="thin">
        <color theme="4" tint="0.39997558519241921"/>
      </right>
      <top style="thin">
        <color theme="4" tint="0.39997558519241921"/>
      </top>
      <bottom style="thin">
        <color theme="4" tint="0.39997558519241921"/>
      </bottom>
      <diagonal/>
    </border>
    <border>
      <left style="double">
        <color rgb="FF3F3F3F"/>
      </left>
      <right style="double">
        <color rgb="FF3F3F3F"/>
      </right>
      <top style="double">
        <color rgb="FF3F3F3F"/>
      </top>
      <bottom style="double">
        <color rgb="FF3F3F3F"/>
      </bottom>
      <diagonal/>
    </border>
  </borders>
  <cellStyleXfs count="6">
    <xf numFmtId="0" fontId="0" fillId="0" borderId="0"/>
    <xf numFmtId="0" fontId="3" fillId="0" borderId="0"/>
    <xf numFmtId="0" fontId="2" fillId="0" borderId="0"/>
    <xf numFmtId="0" fontId="7" fillId="0" borderId="0"/>
    <xf numFmtId="0" fontId="1" fillId="0" borderId="0"/>
    <xf numFmtId="0" fontId="12" fillId="2" borderId="3" applyNumberFormat="0" applyAlignment="0" applyProtection="0"/>
  </cellStyleXfs>
  <cellXfs count="21">
    <xf numFmtId="0" fontId="0" fillId="0" borderId="0" xfId="0"/>
    <xf numFmtId="0" fontId="5" fillId="0" borderId="0" xfId="2" applyFont="1" applyFill="1" applyBorder="1"/>
    <xf numFmtId="0" fontId="6" fillId="0" borderId="0" xfId="0" applyFont="1" applyAlignment="1">
      <alignment wrapText="1"/>
    </xf>
    <xf numFmtId="0" fontId="5" fillId="0" borderId="0" xfId="2" applyFont="1" applyFill="1" applyBorder="1" applyAlignment="1">
      <alignment wrapText="1"/>
    </xf>
    <xf numFmtId="0" fontId="5" fillId="0" borderId="0" xfId="2" applyFont="1" applyFill="1" applyBorder="1" applyAlignment="1">
      <alignment horizontal="left" indent="1"/>
    </xf>
    <xf numFmtId="0" fontId="5" fillId="0" borderId="0" xfId="2" applyFont="1" applyFill="1" applyBorder="1" applyAlignment="1">
      <alignment horizontal="left" wrapText="1" indent="1"/>
    </xf>
    <xf numFmtId="0" fontId="4" fillId="0" borderId="0" xfId="2" applyFont="1" applyFill="1" applyBorder="1"/>
    <xf numFmtId="0" fontId="4" fillId="0" borderId="0" xfId="2" applyFont="1" applyFill="1" applyBorder="1" applyAlignment="1">
      <alignment horizontal="left" indent="1"/>
    </xf>
    <xf numFmtId="0" fontId="5" fillId="0" borderId="0" xfId="2" applyFont="1" applyFill="1" applyAlignment="1">
      <alignment wrapText="1"/>
    </xf>
    <xf numFmtId="0" fontId="5" fillId="0" borderId="0" xfId="2" applyFont="1" applyFill="1" applyAlignment="1">
      <alignment horizontal="left" indent="1"/>
    </xf>
    <xf numFmtId="0" fontId="4" fillId="0" borderId="0" xfId="2" applyFont="1" applyFill="1" applyBorder="1" applyAlignment="1">
      <alignment horizontal="left" wrapText="1"/>
    </xf>
    <xf numFmtId="0" fontId="6" fillId="0" borderId="0" xfId="0" applyFont="1" applyProtection="1">
      <protection locked="0"/>
    </xf>
    <xf numFmtId="0" fontId="6" fillId="0" borderId="0" xfId="0" applyFont="1" applyProtection="1"/>
    <xf numFmtId="0" fontId="0" fillId="0" borderId="0" xfId="0" applyProtection="1"/>
    <xf numFmtId="0" fontId="8" fillId="0" borderId="0" xfId="2" applyFont="1" applyFill="1" applyAlignment="1">
      <alignment wrapText="1"/>
    </xf>
    <xf numFmtId="0" fontId="8" fillId="0" borderId="0" xfId="2" applyFont="1" applyFill="1" applyAlignment="1">
      <alignment horizontal="left" indent="1"/>
    </xf>
    <xf numFmtId="0" fontId="7" fillId="0" borderId="0" xfId="0" applyFont="1" applyFill="1" applyProtection="1"/>
    <xf numFmtId="0" fontId="9" fillId="0" borderId="1" xfId="0" applyFont="1" applyFill="1" applyBorder="1"/>
    <xf numFmtId="0" fontId="9" fillId="0" borderId="2" xfId="0" applyFont="1" applyFill="1" applyBorder="1"/>
    <xf numFmtId="0" fontId="10" fillId="0" borderId="0" xfId="0" applyFont="1" applyProtection="1">
      <protection locked="0"/>
    </xf>
    <xf numFmtId="0" fontId="12" fillId="2" borderId="3" xfId="5"/>
  </cellXfs>
  <cellStyles count="6">
    <cellStyle name="Check Cell" xfId="5" builtinId="23"/>
    <cellStyle name="Normal" xfId="0" builtinId="0"/>
    <cellStyle name="Normal 2" xfId="1"/>
    <cellStyle name="Normal 3" xfId="2"/>
    <cellStyle name="Normal 4" xfId="3"/>
    <cellStyle name="Normal 5" xfId="4"/>
  </cellStyles>
  <dxfs count="17">
    <dxf>
      <font>
        <strike val="0"/>
        <outline val="0"/>
        <shadow val="0"/>
        <u val="none"/>
        <vertAlign val="baseline"/>
        <sz val="10"/>
        <name val="Arial"/>
        <scheme val="none"/>
      </font>
      <fill>
        <patternFill patternType="none">
          <bgColor auto="1"/>
        </patternFill>
      </fill>
    </dxf>
    <dxf>
      <font>
        <strike val="0"/>
        <outline val="0"/>
        <shadow val="0"/>
        <u val="none"/>
        <vertAlign val="baseline"/>
        <sz val="10"/>
        <name val="Arial"/>
        <scheme val="none"/>
      </font>
      <fill>
        <patternFill patternType="none">
          <bgColor auto="1"/>
        </patternFill>
      </fill>
    </dxf>
    <dxf>
      <font>
        <strike val="0"/>
        <outline val="0"/>
        <shadow val="0"/>
        <u val="none"/>
        <vertAlign val="baseline"/>
        <sz val="10"/>
        <name val="Arial"/>
        <scheme val="none"/>
      </font>
      <fill>
        <patternFill patternType="none">
          <bgColor auto="1"/>
        </patternFill>
      </fill>
      <protection locked="1" hidden="0"/>
    </dxf>
    <dxf>
      <font>
        <strike val="0"/>
        <outline val="0"/>
        <shadow val="0"/>
        <u val="none"/>
        <vertAlign val="baseline"/>
        <sz val="14"/>
        <color auto="1"/>
        <name val="Arial"/>
        <scheme val="none"/>
      </font>
      <protection locked="0" hidden="0"/>
    </dxf>
    <dxf>
      <font>
        <strike val="0"/>
        <outline val="0"/>
        <shadow val="0"/>
        <u val="none"/>
        <vertAlign val="baseline"/>
        <sz val="14"/>
        <color auto="1"/>
        <name val="Arial"/>
        <scheme val="none"/>
      </font>
      <protection locked="0" hidden="0"/>
    </dxf>
    <dxf>
      <font>
        <strike val="0"/>
        <outline val="0"/>
        <shadow val="0"/>
        <u val="none"/>
        <vertAlign val="baseline"/>
        <sz val="14"/>
        <color auto="1"/>
        <name val="Arial"/>
        <scheme val="none"/>
      </font>
      <protection locked="0" hidden="0"/>
    </dxf>
    <dxf>
      <font>
        <b val="0"/>
        <i val="0"/>
        <strike val="0"/>
        <condense val="0"/>
        <extend val="0"/>
        <outline val="0"/>
        <shadow val="0"/>
        <u val="none"/>
        <vertAlign val="baseline"/>
        <sz val="14"/>
        <color auto="1"/>
        <name val="Arial"/>
        <scheme val="none"/>
      </font>
      <protection locked="1" hidden="0"/>
    </dxf>
    <dxf>
      <alignment horizontal="left" vertical="bottom" textRotation="0" wrapText="0" indent="1" justifyLastLine="0" shrinkToFit="0" readingOrder="0"/>
    </dxf>
    <dxf>
      <font>
        <b val="0"/>
        <i val="0"/>
        <strike val="0"/>
        <condense val="0"/>
        <extend val="0"/>
        <outline val="0"/>
        <shadow val="0"/>
        <u val="none"/>
        <vertAlign val="baseline"/>
        <sz val="12"/>
        <color theme="1"/>
        <name val="Calibri"/>
        <scheme val="minor"/>
      </font>
      <fill>
        <patternFill patternType="none">
          <fgColor indexed="64"/>
          <bgColor indexed="65"/>
        </patternFill>
      </fill>
      <alignment horizontal="left" vertical="bottom" textRotation="0" wrapText="0" indent="1" justifyLastLine="0" shrinkToFit="0" readingOrder="0"/>
    </dxf>
    <dxf>
      <font>
        <b val="0"/>
        <i val="0"/>
        <strike val="0"/>
        <condense val="0"/>
        <extend val="0"/>
        <outline val="0"/>
        <shadow val="0"/>
        <u val="none"/>
        <vertAlign val="baseline"/>
        <sz val="12"/>
        <color theme="1"/>
        <name val="Calibri"/>
        <scheme val="minor"/>
      </font>
      <fill>
        <patternFill patternType="none">
          <fgColor indexed="64"/>
          <bgColor indexed="65"/>
        </patternFill>
      </fill>
      <alignment horizontal="left" vertical="bottom" textRotation="0" wrapText="0" indent="1" justifyLastLine="0" shrinkToFit="0" readingOrder="0"/>
    </dxf>
    <dxf>
      <font>
        <b val="0"/>
        <i val="0"/>
        <strike val="0"/>
        <condense val="0"/>
        <extend val="0"/>
        <outline val="0"/>
        <shadow val="0"/>
        <u val="none"/>
        <vertAlign val="baseline"/>
        <sz val="12"/>
        <color theme="1"/>
        <name val="Calibri"/>
        <scheme val="minor"/>
      </font>
      <fill>
        <patternFill patternType="none">
          <fgColor indexed="64"/>
          <bgColor indexed="65"/>
        </patternFill>
      </fill>
      <alignment horizontal="left" vertical="bottom" textRotation="0" wrapText="0" indent="1" justifyLastLine="0" shrinkToFit="0" readingOrder="0"/>
    </dxf>
    <dxf>
      <font>
        <b val="0"/>
        <i val="0"/>
        <strike val="0"/>
        <condense val="0"/>
        <extend val="0"/>
        <outline val="0"/>
        <shadow val="0"/>
        <u val="none"/>
        <vertAlign val="baseline"/>
        <sz val="12"/>
        <color theme="1"/>
        <name val="Calibri"/>
        <scheme val="minor"/>
      </font>
      <fill>
        <patternFill patternType="none">
          <fgColor indexed="64"/>
          <bgColor indexed="65"/>
        </patternFill>
      </fill>
      <alignment horizontal="left" vertical="bottom" textRotation="0" wrapText="0" indent="1" justifyLastLine="0" shrinkToFit="0" readingOrder="0"/>
    </dxf>
    <dxf>
      <font>
        <b val="0"/>
        <i val="0"/>
        <strike val="0"/>
        <condense val="0"/>
        <extend val="0"/>
        <outline val="0"/>
        <shadow val="0"/>
        <u val="none"/>
        <vertAlign val="baseline"/>
        <sz val="12"/>
        <color theme="1"/>
        <name val="Calibri"/>
        <scheme val="minor"/>
      </font>
      <fill>
        <patternFill patternType="none">
          <fgColor indexed="64"/>
          <bgColor indexed="65"/>
        </patternFill>
      </fill>
      <alignment horizontal="general" vertical="bottom" textRotation="0" wrapText="1" indent="0" justifyLastLine="0" shrinkToFit="0" readingOrder="0"/>
    </dxf>
    <dxf>
      <font>
        <b val="0"/>
        <i val="0"/>
        <strike val="0"/>
        <condense val="0"/>
        <extend val="0"/>
        <outline val="0"/>
        <shadow val="0"/>
        <u val="none"/>
        <vertAlign val="baseline"/>
        <sz val="12"/>
        <color theme="1"/>
        <name val="Calibri"/>
        <scheme val="minor"/>
      </font>
      <fill>
        <patternFill patternType="none">
          <fgColor indexed="64"/>
          <bgColor indexed="65"/>
        </patternFill>
      </fill>
      <alignment horizontal="general" vertical="bottom" textRotation="0" wrapText="1" indent="0" justifyLastLine="0" shrinkToFit="0" readingOrder="0"/>
    </dxf>
    <dxf>
      <font>
        <b val="0"/>
        <i val="0"/>
        <strike val="0"/>
        <condense val="0"/>
        <extend val="0"/>
        <outline val="0"/>
        <shadow val="0"/>
        <u val="none"/>
        <vertAlign val="baseline"/>
        <sz val="12"/>
        <color theme="1"/>
        <name val="Calibri"/>
        <scheme val="minor"/>
      </font>
      <fill>
        <patternFill patternType="none">
          <fgColor indexed="64"/>
          <bgColor indexed="65"/>
        </patternFill>
      </fill>
      <alignment horizontal="general" vertical="bottom" textRotation="0" wrapText="1" indent="0" justifyLastLine="0" shrinkToFit="0" readingOrder="0"/>
    </dxf>
    <dxf>
      <font>
        <b val="0"/>
        <i val="0"/>
        <strike val="0"/>
        <condense val="0"/>
        <extend val="0"/>
        <outline val="0"/>
        <shadow val="0"/>
        <u val="none"/>
        <vertAlign val="baseline"/>
        <sz val="12"/>
        <color theme="1"/>
        <name val="Calibri"/>
        <scheme val="minor"/>
      </font>
      <fill>
        <patternFill patternType="none">
          <fgColor indexed="64"/>
          <bgColor indexed="65"/>
        </patternFill>
      </fill>
      <alignment horizontal="left" vertical="bottom" textRotation="0" wrapText="0" indent="1" justifyLastLine="0" shrinkToFit="0" readingOrder="0"/>
    </dxf>
    <dxf>
      <font>
        <b val="0"/>
        <i val="0"/>
        <strike val="0"/>
        <condense val="0"/>
        <extend val="0"/>
        <outline val="0"/>
        <shadow val="0"/>
        <u val="none"/>
        <vertAlign val="baseline"/>
        <sz val="14"/>
        <color theme="1"/>
        <name val="Calibri"/>
        <scheme val="minor"/>
      </font>
      <fill>
        <patternFill patternType="none">
          <fgColor indexed="64"/>
          <bgColor indexed="65"/>
        </patternFill>
      </fill>
      <alignment horizontal="left" vertical="bottom" textRotation="0" wrapText="1" indent="0" justifyLastLine="0" shrinkToFit="0" readingOrder="0"/>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542925</xdr:colOff>
          <xdr:row>1</xdr:row>
          <xdr:rowOff>123825</xdr:rowOff>
        </xdr:from>
        <xdr:to>
          <xdr:col>3</xdr:col>
          <xdr:colOff>590550</xdr:colOff>
          <xdr:row>7</xdr:row>
          <xdr:rowOff>133350</xdr:rowOff>
        </xdr:to>
        <xdr:sp macro="" textlink="">
          <xdr:nvSpPr>
            <xdr:cNvPr id="3073" name="Button 1" hidden="1">
              <a:extLst>
                <a:ext uri="{63B3BB69-23CF-44E3-9099-C40C66FF867C}">
                  <a14:compatExt spid="_x0000_s3073"/>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Sort RTF Data</a:t>
              </a:r>
            </a:p>
          </xdr:txBody>
        </xdr:sp>
        <xdr:clientData fPrintsWithSheet="0"/>
      </xdr:twoCellAnchor>
    </mc:Choice>
    <mc:Fallback/>
  </mc:AlternateContent>
  <xdr:twoCellAnchor>
    <xdr:from>
      <xdr:col>1</xdr:col>
      <xdr:colOff>0</xdr:colOff>
      <xdr:row>9</xdr:row>
      <xdr:rowOff>104775</xdr:rowOff>
    </xdr:from>
    <xdr:to>
      <xdr:col>12</xdr:col>
      <xdr:colOff>142875</xdr:colOff>
      <xdr:row>12</xdr:row>
      <xdr:rowOff>114299</xdr:rowOff>
    </xdr:to>
    <xdr:grpSp>
      <xdr:nvGrpSpPr>
        <xdr:cNvPr id="3" name="Group 2"/>
        <xdr:cNvGrpSpPr/>
      </xdr:nvGrpSpPr>
      <xdr:grpSpPr>
        <a:xfrm>
          <a:off x="609600" y="1562100"/>
          <a:ext cx="6848475" cy="495299"/>
          <a:chOff x="609600" y="1562100"/>
          <a:chExt cx="6848475" cy="495299"/>
        </a:xfrm>
      </xdr:grpSpPr>
      <mc:AlternateContent xmlns:mc="http://schemas.openxmlformats.org/markup-compatibility/2006">
        <mc:Choice xmlns:a14="http://schemas.microsoft.com/office/drawing/2010/main" Requires="a14">
          <xdr:sp macro="" textlink="">
            <xdr:nvSpPr>
              <xdr:cNvPr id="3075" name="Button 3" hidden="1">
                <a:extLst>
                  <a:ext uri="{63B3BB69-23CF-44E3-9099-C40C66FF867C}">
                    <a14:compatExt spid="_x0000_s3075"/>
                  </a:ext>
                </a:extLst>
              </xdr:cNvPr>
              <xdr:cNvSpPr/>
            </xdr:nvSpPr>
            <xdr:spPr bwMode="auto">
              <a:xfrm>
                <a:off x="609600" y="1562100"/>
                <a:ext cx="1219200" cy="40005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Edit Index Table</a:t>
                </a:r>
              </a:p>
            </xdr:txBody>
          </xdr:sp>
        </mc:Choice>
        <mc:Fallback/>
      </mc:AlternateContent>
      <xdr:sp macro="" textlink="">
        <xdr:nvSpPr>
          <xdr:cNvPr id="2" name="TextBox 1"/>
          <xdr:cNvSpPr txBox="1"/>
        </xdr:nvSpPr>
        <xdr:spPr>
          <a:xfrm>
            <a:off x="2057400" y="1562100"/>
            <a:ext cx="5400675" cy="495299"/>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Edit the Index Table to change how Call Numbers  and Collection Names map to sections.</a:t>
            </a:r>
            <a:r>
              <a:rPr lang="en-US" sz="1100" baseline="0"/>
              <a:t> Sections can be defined by usign the "Edit Ranked Sections" option below.</a:t>
            </a:r>
            <a:endParaRPr lang="en-US" sz="1100"/>
          </a:p>
        </xdr:txBody>
      </xdr:sp>
    </xdr:grpSp>
    <xdr:clientData/>
  </xdr:twoCellAnchor>
  <xdr:twoCellAnchor>
    <xdr:from>
      <xdr:col>1</xdr:col>
      <xdr:colOff>9525</xdr:colOff>
      <xdr:row>13</xdr:row>
      <xdr:rowOff>47625</xdr:rowOff>
    </xdr:from>
    <xdr:to>
      <xdr:col>12</xdr:col>
      <xdr:colOff>152400</xdr:colOff>
      <xdr:row>16</xdr:row>
      <xdr:rowOff>9525</xdr:rowOff>
    </xdr:to>
    <xdr:grpSp>
      <xdr:nvGrpSpPr>
        <xdr:cNvPr id="5" name="Group 4"/>
        <xdr:cNvGrpSpPr/>
      </xdr:nvGrpSpPr>
      <xdr:grpSpPr>
        <a:xfrm>
          <a:off x="619125" y="2152650"/>
          <a:ext cx="6848475" cy="447675"/>
          <a:chOff x="619125" y="2152650"/>
          <a:chExt cx="6848475" cy="447675"/>
        </a:xfrm>
      </xdr:grpSpPr>
      <mc:AlternateContent xmlns:mc="http://schemas.openxmlformats.org/markup-compatibility/2006">
        <mc:Choice xmlns:a14="http://schemas.microsoft.com/office/drawing/2010/main" Requires="a14">
          <xdr:sp macro="" textlink="">
            <xdr:nvSpPr>
              <xdr:cNvPr id="3076" name="Button 4" hidden="1">
                <a:extLst>
                  <a:ext uri="{63B3BB69-23CF-44E3-9099-C40C66FF867C}">
                    <a14:compatExt spid="_x0000_s3076"/>
                  </a:ext>
                </a:extLst>
              </xdr:cNvPr>
              <xdr:cNvSpPr/>
            </xdr:nvSpPr>
            <xdr:spPr bwMode="auto">
              <a:xfrm>
                <a:off x="619125" y="2152650"/>
                <a:ext cx="1190625" cy="38100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Edit Ranked Sections</a:t>
                </a:r>
              </a:p>
            </xdr:txBody>
          </xdr:sp>
        </mc:Choice>
        <mc:Fallback/>
      </mc:AlternateContent>
      <xdr:sp macro="" textlink="">
        <xdr:nvSpPr>
          <xdr:cNvPr id="4" name="TextBox 3"/>
          <xdr:cNvSpPr txBox="1"/>
        </xdr:nvSpPr>
        <xdr:spPr>
          <a:xfrm>
            <a:off x="2047875" y="2152650"/>
            <a:ext cx="5419725" cy="44767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Edit the Ranked Sections table to delete, create, or</a:t>
            </a:r>
            <a:r>
              <a:rPr lang="en-US" sz="1100" baseline="0"/>
              <a:t> </a:t>
            </a:r>
            <a:r>
              <a:rPr lang="en-US" sz="1100"/>
              <a:t>reorder</a:t>
            </a:r>
            <a:r>
              <a:rPr lang="en-US" sz="1100" baseline="0"/>
              <a:t> sections. </a:t>
            </a:r>
            <a:endParaRPr lang="en-US" sz="1100"/>
          </a:p>
        </xdr:txBody>
      </xdr:sp>
    </xdr:grpSp>
    <xdr:clientData/>
  </xdr:twoCellAnchor>
</xdr:wsDr>
</file>

<file path=xl/drawings/drawing2.xml><?xml version="1.0" encoding="utf-8"?>
<xdr:wsDr xmlns:xdr="http://schemas.openxmlformats.org/drawingml/2006/spreadsheetDrawing" xmlns:a="http://schemas.openxmlformats.org/drawingml/2006/main">
  <xdr:twoCellAnchor>
    <xdr:from>
      <xdr:col>8</xdr:col>
      <xdr:colOff>390525</xdr:colOff>
      <xdr:row>0</xdr:row>
      <xdr:rowOff>457200</xdr:rowOff>
    </xdr:from>
    <xdr:to>
      <xdr:col>15</xdr:col>
      <xdr:colOff>188818</xdr:colOff>
      <xdr:row>20</xdr:row>
      <xdr:rowOff>11206</xdr:rowOff>
    </xdr:to>
    <xdr:grpSp>
      <xdr:nvGrpSpPr>
        <xdr:cNvPr id="3" name="Group 2"/>
        <xdr:cNvGrpSpPr/>
      </xdr:nvGrpSpPr>
      <xdr:grpSpPr>
        <a:xfrm>
          <a:off x="12481672" y="457200"/>
          <a:ext cx="5109881" cy="5179359"/>
          <a:chOff x="12851466" y="457200"/>
          <a:chExt cx="5109881" cy="4238064"/>
        </a:xfrm>
      </xdr:grpSpPr>
      <mc:AlternateContent xmlns:mc="http://schemas.openxmlformats.org/markup-compatibility/2006">
        <mc:Choice xmlns:a14="http://schemas.microsoft.com/office/drawing/2010/main" Requires="a14">
          <xdr:sp macro="" textlink="">
            <xdr:nvSpPr>
              <xdr:cNvPr id="4102" name="Button 6" hidden="1">
                <a:extLst>
                  <a:ext uri="{63B3BB69-23CF-44E3-9099-C40C66FF867C}">
                    <a14:compatExt spid="_x0000_s4102"/>
                  </a:ext>
                </a:extLst>
              </xdr:cNvPr>
              <xdr:cNvSpPr/>
            </xdr:nvSpPr>
            <xdr:spPr bwMode="auto">
              <a:xfrm>
                <a:off x="12851466" y="457200"/>
                <a:ext cx="2888316" cy="964266"/>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Close Index</a:t>
                </a:r>
              </a:p>
            </xdr:txBody>
          </xdr:sp>
        </mc:Choice>
        <mc:Fallback/>
      </mc:AlternateContent>
      <xdr:sp macro="" textlink="">
        <xdr:nvSpPr>
          <xdr:cNvPr id="2" name="TextBox 1"/>
          <xdr:cNvSpPr txBox="1"/>
        </xdr:nvSpPr>
        <xdr:spPr>
          <a:xfrm>
            <a:off x="12851466" y="1613647"/>
            <a:ext cx="5109881" cy="3081617"/>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Use the grey column ("Section</a:t>
            </a:r>
            <a:r>
              <a:rPr lang="en-US" sz="1100" baseline="0"/>
              <a:t> Description") to change which section maps to a particular call number +  collection name.</a:t>
            </a:r>
          </a:p>
          <a:p>
            <a:endParaRPr lang="en-US" sz="1100" baseline="0"/>
          </a:p>
          <a:p>
            <a:r>
              <a:rPr lang="en-US" sz="1100" baseline="0"/>
              <a:t>Column explanations:</a:t>
            </a:r>
          </a:p>
          <a:p>
            <a:r>
              <a:rPr lang="en-US" sz="1100" b="1" i="1"/>
              <a:t>Collection</a:t>
            </a:r>
            <a:r>
              <a:rPr lang="en-US" sz="1100" b="1" i="1" baseline="0"/>
              <a:t> Name -</a:t>
            </a:r>
            <a:r>
              <a:rPr lang="en-US" sz="1100" i="1" baseline="0"/>
              <a:t> </a:t>
            </a:r>
            <a:r>
              <a:rPr lang="en-US" sz="1100" i="0" baseline="0"/>
              <a:t>The collection name assigned in Polaris</a:t>
            </a:r>
            <a:endParaRPr lang="en-US" sz="1100" i="1" baseline="0"/>
          </a:p>
          <a:p>
            <a:r>
              <a:rPr lang="en-US" sz="1100" b="1" i="1" baseline="0"/>
              <a:t>Dewey Number </a:t>
            </a:r>
            <a:r>
              <a:rPr lang="en-US" sz="1100" b="1" i="0" baseline="0"/>
              <a:t>- </a:t>
            </a:r>
            <a:r>
              <a:rPr lang="en-US" sz="1100" i="0" baseline="0"/>
              <a:t>A boolean value that indicates if the call number is part of the dewey decimal system</a:t>
            </a:r>
            <a:endParaRPr lang="en-US" sz="1100" i="1" baseline="0"/>
          </a:p>
          <a:p>
            <a:r>
              <a:rPr lang="en-US" sz="1100" b="1" i="1" baseline="0"/>
              <a:t>Call Number Mask -</a:t>
            </a:r>
            <a:r>
              <a:rPr lang="en-US" sz="1100" i="1" baseline="0"/>
              <a:t> </a:t>
            </a:r>
            <a:r>
              <a:rPr lang="en-US" sz="1100" i="0" baseline="0"/>
              <a:t>A combination of the call number prefix, class field, and cutter</a:t>
            </a:r>
          </a:p>
          <a:p>
            <a:r>
              <a:rPr lang="en-US" sz="1100" b="1" i="1" baseline="0"/>
              <a:t>Prefix -</a:t>
            </a:r>
            <a:r>
              <a:rPr lang="en-US" sz="1100" b="1" i="0" baseline="0"/>
              <a:t> </a:t>
            </a:r>
            <a:r>
              <a:rPr lang="en-US" sz="1100" i="0" baseline="0"/>
              <a:t>See cataloguing guidelines</a:t>
            </a:r>
            <a:endParaRPr lang="en-US" sz="1100" i="1" baseline="0"/>
          </a:p>
          <a:p>
            <a:r>
              <a:rPr lang="en-US" sz="1100" b="1" i="1"/>
              <a:t>Class </a:t>
            </a:r>
            <a:r>
              <a:rPr lang="en-US" sz="1100" b="1" i="1" baseline="0">
                <a:solidFill>
                  <a:schemeClr val="dk1"/>
                </a:solidFill>
                <a:effectLst/>
                <a:latin typeface="+mn-lt"/>
                <a:ea typeface="+mn-ea"/>
                <a:cs typeface="+mn-cs"/>
              </a:rPr>
              <a:t>-</a:t>
            </a:r>
            <a:r>
              <a:rPr lang="en-US" sz="1100" i="0" baseline="0">
                <a:solidFill>
                  <a:schemeClr val="dk1"/>
                </a:solidFill>
                <a:effectLst/>
                <a:latin typeface="+mn-lt"/>
                <a:ea typeface="+mn-ea"/>
                <a:cs typeface="+mn-cs"/>
              </a:rPr>
              <a:t> See cataloguing guidelines</a:t>
            </a:r>
            <a:endParaRPr lang="en-US" sz="1100" b="1" i="1" baseline="0"/>
          </a:p>
          <a:p>
            <a:r>
              <a:rPr lang="en-US" sz="1100" b="1" i="1" baseline="0"/>
              <a:t>Cutter </a:t>
            </a:r>
            <a:r>
              <a:rPr lang="en-US" sz="1100" b="1" i="1" baseline="0">
                <a:solidFill>
                  <a:schemeClr val="dk1"/>
                </a:solidFill>
                <a:effectLst/>
                <a:latin typeface="+mn-lt"/>
                <a:ea typeface="+mn-ea"/>
                <a:cs typeface="+mn-cs"/>
              </a:rPr>
              <a:t>-</a:t>
            </a:r>
            <a:r>
              <a:rPr lang="en-US" sz="1100" i="0" baseline="0">
                <a:solidFill>
                  <a:schemeClr val="dk1"/>
                </a:solidFill>
                <a:effectLst/>
                <a:latin typeface="+mn-lt"/>
                <a:ea typeface="+mn-ea"/>
                <a:cs typeface="+mn-cs"/>
              </a:rPr>
              <a:t> See cataloguing guidelines</a:t>
            </a:r>
          </a:p>
          <a:p>
            <a:r>
              <a:rPr lang="en-US" sz="1100" b="1" i="1" baseline="0">
                <a:solidFill>
                  <a:schemeClr val="dk1"/>
                </a:solidFill>
                <a:effectLst/>
                <a:latin typeface="+mn-lt"/>
                <a:ea typeface="+mn-ea"/>
                <a:cs typeface="+mn-cs"/>
              </a:rPr>
              <a:t>Helpful Description -</a:t>
            </a:r>
            <a:r>
              <a:rPr lang="en-US" sz="1100" b="1" i="0" baseline="0">
                <a:solidFill>
                  <a:schemeClr val="dk1"/>
                </a:solidFill>
                <a:effectLst/>
                <a:latin typeface="+mn-lt"/>
                <a:ea typeface="+mn-ea"/>
                <a:cs typeface="+mn-cs"/>
              </a:rPr>
              <a:t> </a:t>
            </a:r>
            <a:r>
              <a:rPr lang="en-US" sz="1100" i="0" baseline="0">
                <a:solidFill>
                  <a:schemeClr val="dk1"/>
                </a:solidFill>
                <a:effectLst/>
                <a:latin typeface="+mn-lt"/>
                <a:ea typeface="+mn-ea"/>
                <a:cs typeface="+mn-cs"/>
              </a:rPr>
              <a:t>A simple explanation what a record of this type is</a:t>
            </a:r>
          </a:p>
          <a:p>
            <a:r>
              <a:rPr lang="en-US" sz="1100" b="1" i="1"/>
              <a:t>Section</a:t>
            </a:r>
            <a:r>
              <a:rPr lang="en-US" sz="1100" b="1" i="1" baseline="0"/>
              <a:t> Description - </a:t>
            </a:r>
            <a:r>
              <a:rPr lang="en-US" sz="1100" b="0" i="0" baseline="0"/>
              <a:t>A value from the Ranked Sections table</a:t>
            </a:r>
          </a:p>
          <a:p>
            <a:endParaRPr lang="en-US" sz="1100" b="0" i="0" baseline="0"/>
          </a:p>
          <a:p>
            <a:r>
              <a:rPr lang="en-US" sz="1100" b="0" i="0" baseline="0"/>
              <a:t>Note that these rules were more-or-less copied from the "Call Number Mapping.xlsx" file found here:</a:t>
            </a:r>
          </a:p>
          <a:p>
            <a:r>
              <a:rPr lang="en-US" sz="1100" b="1" i="1"/>
              <a:t>\\server1\Shared Folders\Technical Services &amp; Facilities Development\Acquisitions and Catalog Services\Cataloging\Local Cataloging Practices\Formating call numbers &amp; labels\</a:t>
            </a:r>
          </a:p>
        </xdr:txBody>
      </xdr:sp>
    </xdr:grpSp>
    <xdr:clientData/>
  </xdr:twoCellAnchor>
</xdr:wsDr>
</file>

<file path=xl/drawings/drawing3.xml><?xml version="1.0" encoding="utf-8"?>
<xdr:wsDr xmlns:xdr="http://schemas.openxmlformats.org/drawingml/2006/spreadsheetDrawing" xmlns:a="http://schemas.openxmlformats.org/drawingml/2006/main">
  <xdr:twoCellAnchor>
    <xdr:from>
      <xdr:col>3</xdr:col>
      <xdr:colOff>156883</xdr:colOff>
      <xdr:row>0</xdr:row>
      <xdr:rowOff>209550</xdr:rowOff>
    </xdr:from>
    <xdr:to>
      <xdr:col>11</xdr:col>
      <xdr:colOff>313764</xdr:colOff>
      <xdr:row>18</xdr:row>
      <xdr:rowOff>100853</xdr:rowOff>
    </xdr:to>
    <xdr:grpSp>
      <xdr:nvGrpSpPr>
        <xdr:cNvPr id="3" name="Group 2"/>
        <xdr:cNvGrpSpPr/>
      </xdr:nvGrpSpPr>
      <xdr:grpSpPr>
        <a:xfrm>
          <a:off x="4045324" y="209550"/>
          <a:ext cx="4314264" cy="3925421"/>
          <a:chOff x="4045324" y="209550"/>
          <a:chExt cx="4314264" cy="3925421"/>
        </a:xfrm>
      </xdr:grpSpPr>
      <mc:AlternateContent xmlns:mc="http://schemas.openxmlformats.org/markup-compatibility/2006">
        <mc:Choice xmlns:a14="http://schemas.microsoft.com/office/drawing/2010/main" Requires="a14">
          <xdr:sp macro="" textlink="">
            <xdr:nvSpPr>
              <xdr:cNvPr id="5122" name="Button 2" hidden="1">
                <a:extLst>
                  <a:ext uri="{63B3BB69-23CF-44E3-9099-C40C66FF867C}">
                    <a14:compatExt spid="_x0000_s5122"/>
                  </a:ext>
                </a:extLst>
              </xdr:cNvPr>
              <xdr:cNvSpPr/>
            </xdr:nvSpPr>
            <xdr:spPr bwMode="auto">
              <a:xfrm>
                <a:off x="4045324" y="209550"/>
                <a:ext cx="1559299" cy="586628"/>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Close Ranked Sections</a:t>
                </a:r>
              </a:p>
            </xdr:txBody>
          </xdr:sp>
        </mc:Choice>
        <mc:Fallback/>
      </mc:AlternateContent>
      <xdr:sp macro="" textlink="">
        <xdr:nvSpPr>
          <xdr:cNvPr id="2" name="TextBox 1"/>
          <xdr:cNvSpPr txBox="1"/>
        </xdr:nvSpPr>
        <xdr:spPr>
          <a:xfrm>
            <a:off x="4045324" y="1019734"/>
            <a:ext cx="4314264" cy="3115237"/>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Select a table row and drag</a:t>
            </a:r>
            <a:r>
              <a:rPr lang="en-US" sz="1100" baseline="0"/>
              <a:t> it up/down to change the rank of a section.  By changing the rank of a section, you change where an RTF record will appear on a list during the sorting process. For example, if "Nonfiction" is at the top of this list, then any items that are categorized as "Nonfiction" (according to the rules defined in the Index table) will be at the top of the RTF report.</a:t>
            </a:r>
          </a:p>
          <a:p>
            <a:r>
              <a:rPr lang="en-US" sz="1100" baseline="0"/>
              <a:t>~~~~~~~~~~~~~~~~~~~~~~~~~~~~~~~~~~~~~~~~~~~~~~~~~~~~~~~~~~</a:t>
            </a:r>
          </a:p>
          <a:p>
            <a:r>
              <a:rPr lang="en-US" sz="1100" baseline="0"/>
              <a:t>Be careful editing/deleting sections, as changes to this table will </a:t>
            </a:r>
            <a:r>
              <a:rPr lang="en-US" sz="1100" b="1" baseline="0"/>
              <a:t>not</a:t>
            </a:r>
            <a:r>
              <a:rPr lang="en-US" sz="1100" b="0" baseline="0"/>
              <a:t> automatically be changed in the Index table. If you edit a section description, you need to go make those changes in the Index table as well.</a:t>
            </a:r>
          </a:p>
          <a:p>
            <a:r>
              <a:rPr lang="en-US" sz="1100" b="0" baseline="0"/>
              <a:t>~~~~~~~~~~~~~~~~~~~~~~~~~~~~~~~~~~~~~~~~~~~~~~~~~~~~~~~~~~</a:t>
            </a:r>
          </a:p>
          <a:p>
            <a:r>
              <a:rPr lang="en-US" sz="1100"/>
              <a:t>Shelf Locations reflect possible values that come on the RTF report. Sometimes</a:t>
            </a:r>
            <a:r>
              <a:rPr lang="en-US" sz="1100" baseline="0"/>
              <a:t> a title is a new book and sometimes it isn't - for some libraries, this affects where it goes in the RTF sort process.</a:t>
            </a:r>
          </a:p>
          <a:p>
            <a:r>
              <a:rPr lang="en-US" sz="1100" baseline="0"/>
              <a:t>~~~~~~~~~~~~~~~~~~~~~~~~~~~~~~~~~~~~~~~~~~~~~~~~~~~~~~~~~~</a:t>
            </a:r>
          </a:p>
          <a:p>
            <a:r>
              <a:rPr lang="en-US" sz="1100" baseline="0"/>
              <a:t>"unknown" and "bad rtf data" should always be at the bottom of the list</a:t>
            </a:r>
            <a:endParaRPr lang="en-US" sz="1100"/>
          </a:p>
        </xdr:txBody>
      </xdr:sp>
    </xdr:grpSp>
    <xdr:clientData/>
  </xdr:twoCellAnchor>
</xdr:wsDr>
</file>

<file path=xl/tables/table1.xml><?xml version="1.0" encoding="utf-8"?>
<table xmlns="http://schemas.openxmlformats.org/spreadsheetml/2006/main" id="1" name="IndexTbl" displayName="IndexTbl" ref="A1:H168" totalsRowShown="0" headerRowDxfId="16" dataDxfId="15" headerRowCellStyle="Normal 3" dataCellStyle="Normal 3">
  <tableColumns count="8">
    <tableColumn id="4" name="Collection Name" dataDxfId="14" dataCellStyle="Normal 3"/>
    <tableColumn id="5" name="Dewey Number" dataDxfId="13" dataCellStyle="Normal 3">
      <calculatedColumnFormula>ISNUMBER(E2)</calculatedColumnFormula>
    </tableColumn>
    <tableColumn id="6" name="Call Number Mask" dataDxfId="12" dataCellStyle="Normal 3">
      <calculatedColumnFormula>TRIM(D2&amp;IF(NOT(B2)," "&amp;E2,""))</calculatedColumnFormula>
    </tableColumn>
    <tableColumn id="7" name="Prefix" dataDxfId="11" dataCellStyle="Normal 3"/>
    <tableColumn id="8" name="Class" dataDxfId="10" dataCellStyle="Normal 3"/>
    <tableColumn id="9" name="Cutter [{Subject},{Author},{Other}]" dataDxfId="9" dataCellStyle="Normal 3"/>
    <tableColumn id="3" name="Helfpul Description" dataDxfId="8" dataCellStyle="Normal 3"/>
    <tableColumn id="2" name="Section Description" dataDxfId="7" dataCellStyle="Check Cell"/>
  </tableColumns>
  <tableStyleInfo name="TableStyleMedium2" showFirstColumn="0" showLastColumn="0" showRowStripes="1" showColumnStripes="0"/>
</table>
</file>

<file path=xl/tables/table2.xml><?xml version="1.0" encoding="utf-8"?>
<table xmlns="http://schemas.openxmlformats.org/spreadsheetml/2006/main" id="8" name="SectionsTbl" displayName="SectionsTbl" ref="A1:B55" totalsRowShown="0" headerRowDxfId="6" dataDxfId="5">
  <tableColumns count="2">
    <tableColumn id="1" name="Section Description" dataDxfId="4"/>
    <tableColumn id="2" name="Shelf Location" dataDxfId="3"/>
  </tableColumns>
  <tableStyleInfo name="TableStyleMedium2" showFirstColumn="0" showLastColumn="0" showRowStripes="1" showColumnStripes="0"/>
</table>
</file>

<file path=xl/tables/table3.xml><?xml version="1.0" encoding="utf-8"?>
<table xmlns="http://schemas.openxmlformats.org/spreadsheetml/2006/main" id="4" name="Table4" displayName="Table4" ref="H1:H4" totalsRowShown="0" headerRowDxfId="2" dataDxfId="1">
  <autoFilter ref="H1:H4"/>
  <tableColumns count="1">
    <tableColumn id="1" name="Valid Shelf Locations" dataDxfId="0"/>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table" Target="../tables/table1.xml"/><Relationship Id="rId4" Type="http://schemas.openxmlformats.org/officeDocument/2006/relationships/ctrlProp" Target="../ctrlProps/ctrlProp4.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table" Target="../tables/table3.xml"/><Relationship Id="rId5" Type="http://schemas.openxmlformats.org/officeDocument/2006/relationships/table" Target="../tables/table2.xml"/><Relationship Id="rId4" Type="http://schemas.openxmlformats.org/officeDocument/2006/relationships/ctrlProp" Target="../ctrlProps/ctrlProp5.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
  <sheetViews>
    <sheetView workbookViewId="0"/>
  </sheetViews>
  <sheetFormatPr defaultRowHeight="12.75" x14ac:dyDescent="0.2"/>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073" r:id="rId4" name="Button 1">
              <controlPr defaultSize="0" print="0" autoFill="0" autoPict="0" macro="[0]!rtfSort">
                <anchor moveWithCells="1" sizeWithCells="1">
                  <from>
                    <xdr:col>0</xdr:col>
                    <xdr:colOff>542925</xdr:colOff>
                    <xdr:row>1</xdr:row>
                    <xdr:rowOff>123825</xdr:rowOff>
                  </from>
                  <to>
                    <xdr:col>3</xdr:col>
                    <xdr:colOff>590550</xdr:colOff>
                    <xdr:row>7</xdr:row>
                    <xdr:rowOff>133350</xdr:rowOff>
                  </to>
                </anchor>
              </controlPr>
            </control>
          </mc:Choice>
        </mc:AlternateContent>
        <mc:AlternateContent xmlns:mc="http://schemas.openxmlformats.org/markup-compatibility/2006">
          <mc:Choice Requires="x14">
            <control shapeId="3075" r:id="rId5" name="Button 3">
              <controlPr defaultSize="0" autoFill="0" autoPict="0" macro="[0]!unhideIndex">
                <anchor moveWithCells="1" sizeWithCells="1">
                  <from>
                    <xdr:col>1</xdr:col>
                    <xdr:colOff>0</xdr:colOff>
                    <xdr:row>9</xdr:row>
                    <xdr:rowOff>104775</xdr:rowOff>
                  </from>
                  <to>
                    <xdr:col>3</xdr:col>
                    <xdr:colOff>0</xdr:colOff>
                    <xdr:row>12</xdr:row>
                    <xdr:rowOff>19050</xdr:rowOff>
                  </to>
                </anchor>
              </controlPr>
            </control>
          </mc:Choice>
        </mc:AlternateContent>
        <mc:AlternateContent xmlns:mc="http://schemas.openxmlformats.org/markup-compatibility/2006">
          <mc:Choice Requires="x14">
            <control shapeId="3076" r:id="rId6" name="Button 4">
              <controlPr defaultSize="0" autoFill="0" autoPict="0" macro="[0]!unhideSections">
                <anchor moveWithCells="1" sizeWithCells="1">
                  <from>
                    <xdr:col>1</xdr:col>
                    <xdr:colOff>9525</xdr:colOff>
                    <xdr:row>13</xdr:row>
                    <xdr:rowOff>47625</xdr:rowOff>
                  </from>
                  <to>
                    <xdr:col>2</xdr:col>
                    <xdr:colOff>590550</xdr:colOff>
                    <xdr:row>15</xdr:row>
                    <xdr:rowOff>104775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dimension ref="A1:R196"/>
  <sheetViews>
    <sheetView tabSelected="1" zoomScale="85" zoomScaleNormal="85" workbookViewId="0">
      <selection activeCell="R17" sqref="R3:R17"/>
    </sheetView>
  </sheetViews>
  <sheetFormatPr defaultColWidth="8.85546875" defaultRowHeight="18.75" x14ac:dyDescent="0.3"/>
  <cols>
    <col min="1" max="1" width="26" bestFit="1" customWidth="1"/>
    <col min="2" max="2" width="10.5703125" style="6" bestFit="1" customWidth="1"/>
    <col min="3" max="3" width="22.42578125" style="6" bestFit="1" customWidth="1"/>
    <col min="4" max="4" width="18.28515625" style="6" bestFit="1" customWidth="1"/>
    <col min="5" max="5" width="9.85546875" style="6" bestFit="1" customWidth="1"/>
    <col min="6" max="6" width="33.85546875" style="6" customWidth="1"/>
    <col min="7" max="7" width="32.85546875" style="7" customWidth="1"/>
    <col min="8" max="8" width="27.42578125" bestFit="1" customWidth="1"/>
    <col min="9" max="9" width="26.28515625" style="7" bestFit="1" customWidth="1"/>
    <col min="10" max="17" width="8.85546875" style="6"/>
    <col min="18" max="18" width="35" style="6" bestFit="1" customWidth="1"/>
    <col min="19" max="16384" width="8.85546875" style="6"/>
  </cols>
  <sheetData>
    <row r="1" spans="1:18" ht="57" thickBot="1" x14ac:dyDescent="0.35">
      <c r="A1" s="10" t="s">
        <v>295</v>
      </c>
      <c r="B1" s="10" t="s">
        <v>299</v>
      </c>
      <c r="C1" s="10" t="s">
        <v>298</v>
      </c>
      <c r="D1" s="10" t="s">
        <v>310</v>
      </c>
      <c r="E1" s="10" t="s">
        <v>311</v>
      </c>
      <c r="F1" s="10" t="s">
        <v>290</v>
      </c>
      <c r="G1" s="10" t="s">
        <v>309</v>
      </c>
      <c r="H1" s="2" t="s">
        <v>296</v>
      </c>
      <c r="I1" s="6"/>
    </row>
    <row r="2" spans="1:18" ht="20.25" thickTop="1" thickBot="1" x14ac:dyDescent="0.35">
      <c r="A2" s="8" t="s">
        <v>19</v>
      </c>
      <c r="B2" s="8" t="b">
        <f t="shared" ref="B2:B33" si="0">ISNUMBER(E2)</f>
        <v>1</v>
      </c>
      <c r="C2" s="8" t="str">
        <f t="shared" ref="C2:C33" si="1">TRIM(D2&amp;IF(NOT(B2)," "&amp;E2,""))</f>
        <v/>
      </c>
      <c r="D2" s="9"/>
      <c r="E2" s="9">
        <v>999.99</v>
      </c>
      <c r="F2" s="9" t="s">
        <v>273</v>
      </c>
      <c r="G2" s="8" t="s">
        <v>139</v>
      </c>
      <c r="H2" s="20" t="s">
        <v>19</v>
      </c>
      <c r="I2" s="6"/>
    </row>
    <row r="3" spans="1:18" ht="20.25" thickTop="1" thickBot="1" x14ac:dyDescent="0.35">
      <c r="A3" s="8" t="s">
        <v>50</v>
      </c>
      <c r="B3" s="8" t="b">
        <f t="shared" si="0"/>
        <v>1</v>
      </c>
      <c r="C3" s="8" t="str">
        <f t="shared" si="1"/>
        <v>J</v>
      </c>
      <c r="D3" s="9" t="s">
        <v>92</v>
      </c>
      <c r="E3" s="9">
        <v>999.99</v>
      </c>
      <c r="F3" s="9" t="s">
        <v>256</v>
      </c>
      <c r="G3" s="8" t="s">
        <v>95</v>
      </c>
      <c r="H3" s="20" t="s">
        <v>19</v>
      </c>
      <c r="I3" s="6"/>
      <c r="R3" s="6" t="s">
        <v>316</v>
      </c>
    </row>
    <row r="4" spans="1:18" ht="20.25" thickTop="1" thickBot="1" x14ac:dyDescent="0.35">
      <c r="A4" s="8" t="s">
        <v>43</v>
      </c>
      <c r="B4" s="8" t="b">
        <f t="shared" si="0"/>
        <v>1</v>
      </c>
      <c r="C4" s="8" t="str">
        <f t="shared" si="1"/>
        <v>CD</v>
      </c>
      <c r="D4" s="9" t="s">
        <v>142</v>
      </c>
      <c r="E4" s="9">
        <v>999.99</v>
      </c>
      <c r="F4" s="9" t="s">
        <v>275</v>
      </c>
      <c r="G4" s="8" t="s">
        <v>143</v>
      </c>
      <c r="H4" s="20" t="s">
        <v>19</v>
      </c>
      <c r="I4" s="6"/>
      <c r="R4" s="6" t="s">
        <v>317</v>
      </c>
    </row>
    <row r="5" spans="1:18" ht="20.25" thickTop="1" thickBot="1" x14ac:dyDescent="0.35">
      <c r="A5" s="8" t="s">
        <v>54</v>
      </c>
      <c r="B5" s="8" t="b">
        <f t="shared" si="0"/>
        <v>1</v>
      </c>
      <c r="C5" s="8" t="str">
        <f t="shared" si="1"/>
        <v>TEEN</v>
      </c>
      <c r="D5" s="9" t="s">
        <v>210</v>
      </c>
      <c r="E5" s="9">
        <v>999.99</v>
      </c>
      <c r="F5" s="9" t="s">
        <v>284</v>
      </c>
      <c r="G5" s="8" t="s">
        <v>211</v>
      </c>
      <c r="H5" s="20" t="s">
        <v>19</v>
      </c>
      <c r="I5" s="6"/>
      <c r="R5" s="6" t="s">
        <v>318</v>
      </c>
    </row>
    <row r="6" spans="1:18" ht="20.25" thickTop="1" thickBot="1" x14ac:dyDescent="0.35">
      <c r="A6" s="8" t="s">
        <v>20</v>
      </c>
      <c r="B6" s="8" t="b">
        <f t="shared" si="0"/>
        <v>0</v>
      </c>
      <c r="C6" s="8" t="str">
        <f t="shared" si="1"/>
        <v>BIO</v>
      </c>
      <c r="D6" s="9"/>
      <c r="E6" s="9" t="s">
        <v>63</v>
      </c>
      <c r="F6" s="9" t="s">
        <v>270</v>
      </c>
      <c r="G6" s="8" t="s">
        <v>140</v>
      </c>
      <c r="H6" s="20" t="s">
        <v>20</v>
      </c>
      <c r="I6" s="6"/>
      <c r="R6" s="6" t="s">
        <v>319</v>
      </c>
    </row>
    <row r="7" spans="1:18" ht="20.25" thickTop="1" thickBot="1" x14ac:dyDescent="0.35">
      <c r="A7" s="8" t="s">
        <v>46</v>
      </c>
      <c r="B7" s="8" t="b">
        <f t="shared" si="0"/>
        <v>0</v>
      </c>
      <c r="C7" s="8" t="str">
        <f t="shared" si="1"/>
        <v>J BIO</v>
      </c>
      <c r="D7" s="9" t="s">
        <v>92</v>
      </c>
      <c r="E7" s="9" t="s">
        <v>63</v>
      </c>
      <c r="F7" s="9" t="s">
        <v>270</v>
      </c>
      <c r="G7" s="8" t="s">
        <v>108</v>
      </c>
      <c r="H7" s="20" t="s">
        <v>20</v>
      </c>
      <c r="I7" s="6"/>
      <c r="R7" s="6" t="s">
        <v>320</v>
      </c>
    </row>
    <row r="8" spans="1:18" ht="20.25" thickTop="1" thickBot="1" x14ac:dyDescent="0.35">
      <c r="A8" s="8" t="s">
        <v>43</v>
      </c>
      <c r="B8" s="8" t="b">
        <f t="shared" si="0"/>
        <v>0</v>
      </c>
      <c r="C8" s="8" t="str">
        <f t="shared" si="1"/>
        <v>CD BIO</v>
      </c>
      <c r="D8" s="9" t="s">
        <v>142</v>
      </c>
      <c r="E8" s="9" t="s">
        <v>63</v>
      </c>
      <c r="F8" s="9" t="s">
        <v>276</v>
      </c>
      <c r="G8" s="8" t="s">
        <v>144</v>
      </c>
      <c r="H8" s="20" t="s">
        <v>20</v>
      </c>
      <c r="I8" s="6"/>
      <c r="R8" s="6" t="s">
        <v>312</v>
      </c>
    </row>
    <row r="9" spans="1:18" ht="20.25" thickTop="1" thickBot="1" x14ac:dyDescent="0.35">
      <c r="A9" s="8" t="s">
        <v>52</v>
      </c>
      <c r="B9" s="8" t="b">
        <f t="shared" si="0"/>
        <v>0</v>
      </c>
      <c r="C9" s="8" t="str">
        <f t="shared" si="1"/>
        <v>TEEN BIO</v>
      </c>
      <c r="D9" s="9" t="s">
        <v>210</v>
      </c>
      <c r="E9" s="9" t="s">
        <v>63</v>
      </c>
      <c r="F9" s="9" t="s">
        <v>257</v>
      </c>
      <c r="G9" s="8" t="s">
        <v>52</v>
      </c>
      <c r="H9" s="20" t="s">
        <v>20</v>
      </c>
      <c r="I9" s="6"/>
      <c r="R9" s="6" t="s">
        <v>321</v>
      </c>
    </row>
    <row r="10" spans="1:18" ht="20.25" thickTop="1" thickBot="1" x14ac:dyDescent="0.35">
      <c r="A10" s="8" t="s">
        <v>4</v>
      </c>
      <c r="B10" s="8" t="b">
        <f t="shared" si="0"/>
        <v>0</v>
      </c>
      <c r="C10" s="8" t="str">
        <f t="shared" si="1"/>
        <v>FIC</v>
      </c>
      <c r="D10" s="9"/>
      <c r="E10" s="9" t="s">
        <v>66</v>
      </c>
      <c r="F10" s="9" t="s">
        <v>272</v>
      </c>
      <c r="G10" s="8" t="s">
        <v>138</v>
      </c>
      <c r="H10" s="20" t="s">
        <v>24</v>
      </c>
      <c r="I10" s="6"/>
      <c r="R10" s="6" t="s">
        <v>322</v>
      </c>
    </row>
    <row r="11" spans="1:18" ht="20.25" thickTop="1" thickBot="1" x14ac:dyDescent="0.35">
      <c r="A11" s="8" t="s">
        <v>1</v>
      </c>
      <c r="B11" s="8" t="b">
        <f t="shared" si="0"/>
        <v>0</v>
      </c>
      <c r="C11" s="8" t="str">
        <f t="shared" si="1"/>
        <v>FIC</v>
      </c>
      <c r="D11" s="9"/>
      <c r="E11" s="9" t="s">
        <v>66</v>
      </c>
      <c r="F11" s="9" t="s">
        <v>272</v>
      </c>
      <c r="G11" s="8" t="s">
        <v>138</v>
      </c>
      <c r="H11" s="20" t="s">
        <v>24</v>
      </c>
      <c r="I11" s="6"/>
      <c r="R11" s="6" t="s">
        <v>313</v>
      </c>
    </row>
    <row r="12" spans="1:18" ht="20.25" thickTop="1" thickBot="1" x14ac:dyDescent="0.35">
      <c r="A12" s="8" t="s">
        <v>2</v>
      </c>
      <c r="B12" s="8" t="b">
        <f t="shared" si="0"/>
        <v>0</v>
      </c>
      <c r="C12" s="8" t="str">
        <f t="shared" si="1"/>
        <v>FIC</v>
      </c>
      <c r="D12" s="9"/>
      <c r="E12" s="9" t="s">
        <v>66</v>
      </c>
      <c r="F12" s="9" t="s">
        <v>272</v>
      </c>
      <c r="G12" s="8" t="s">
        <v>138</v>
      </c>
      <c r="H12" s="20" t="s">
        <v>24</v>
      </c>
      <c r="I12" s="6"/>
      <c r="R12" s="6" t="s">
        <v>323</v>
      </c>
    </row>
    <row r="13" spans="1:18" ht="20.25" thickTop="1" thickBot="1" x14ac:dyDescent="0.35">
      <c r="A13" s="8" t="s">
        <v>24</v>
      </c>
      <c r="B13" s="8" t="b">
        <f t="shared" si="0"/>
        <v>0</v>
      </c>
      <c r="C13" s="8" t="str">
        <f t="shared" si="1"/>
        <v>FIC</v>
      </c>
      <c r="D13" s="9"/>
      <c r="E13" s="9" t="s">
        <v>66</v>
      </c>
      <c r="F13" s="9" t="s">
        <v>272</v>
      </c>
      <c r="G13" s="8" t="s">
        <v>138</v>
      </c>
      <c r="H13" s="20" t="s">
        <v>24</v>
      </c>
      <c r="I13" s="6"/>
      <c r="R13" s="6" t="s">
        <v>315</v>
      </c>
    </row>
    <row r="14" spans="1:18" ht="20.25" thickTop="1" thickBot="1" x14ac:dyDescent="0.35">
      <c r="A14" s="8" t="s">
        <v>43</v>
      </c>
      <c r="B14" s="8" t="b">
        <f t="shared" si="0"/>
        <v>0</v>
      </c>
      <c r="C14" s="8" t="str">
        <f t="shared" si="1"/>
        <v>CD FIC</v>
      </c>
      <c r="D14" s="9" t="s">
        <v>142</v>
      </c>
      <c r="E14" s="9" t="s">
        <v>66</v>
      </c>
      <c r="F14" s="9" t="s">
        <v>274</v>
      </c>
      <c r="G14" s="8" t="s">
        <v>141</v>
      </c>
      <c r="H14" s="20" t="s">
        <v>25</v>
      </c>
      <c r="I14" s="6"/>
      <c r="R14" s="6" t="s">
        <v>324</v>
      </c>
    </row>
    <row r="15" spans="1:18" ht="20.25" thickTop="1" thickBot="1" x14ac:dyDescent="0.35">
      <c r="A15" s="3" t="s">
        <v>47</v>
      </c>
      <c r="B15" s="3" t="b">
        <f t="shared" si="0"/>
        <v>1</v>
      </c>
      <c r="C15" s="3" t="str">
        <f t="shared" si="1"/>
        <v>J DVD-ED</v>
      </c>
      <c r="D15" s="4" t="s">
        <v>103</v>
      </c>
      <c r="E15" s="4">
        <v>999.99</v>
      </c>
      <c r="F15" s="4" t="s">
        <v>267</v>
      </c>
      <c r="G15" s="3" t="s">
        <v>102</v>
      </c>
      <c r="H15" s="20" t="s">
        <v>19</v>
      </c>
      <c r="I15" s="6"/>
      <c r="R15" s="6" t="s">
        <v>325</v>
      </c>
    </row>
    <row r="16" spans="1:18" ht="20.25" thickTop="1" thickBot="1" x14ac:dyDescent="0.35">
      <c r="A16" s="3" t="s">
        <v>48</v>
      </c>
      <c r="B16" s="3" t="b">
        <f t="shared" si="0"/>
        <v>1</v>
      </c>
      <c r="C16" s="3" t="str">
        <f t="shared" si="1"/>
        <v>J LGE-TYPE</v>
      </c>
      <c r="D16" s="4" t="s">
        <v>105</v>
      </c>
      <c r="E16" s="4">
        <v>999.99</v>
      </c>
      <c r="F16" s="4" t="s">
        <v>269</v>
      </c>
      <c r="G16" s="3" t="s">
        <v>106</v>
      </c>
      <c r="H16" s="20" t="s">
        <v>19</v>
      </c>
      <c r="I16" s="6"/>
      <c r="R16" s="6" t="s">
        <v>314</v>
      </c>
    </row>
    <row r="17" spans="1:18" ht="20.25" thickTop="1" thickBot="1" x14ac:dyDescent="0.35">
      <c r="A17" s="3" t="s">
        <v>44</v>
      </c>
      <c r="B17" s="3" t="b">
        <f t="shared" si="0"/>
        <v>1</v>
      </c>
      <c r="C17" s="3" t="str">
        <f t="shared" si="1"/>
        <v>DVD-ED</v>
      </c>
      <c r="D17" s="4" t="s">
        <v>147</v>
      </c>
      <c r="E17" s="4">
        <v>999.99</v>
      </c>
      <c r="F17" s="4" t="s">
        <v>278</v>
      </c>
      <c r="G17" s="3" t="s">
        <v>146</v>
      </c>
      <c r="H17" s="20" t="s">
        <v>19</v>
      </c>
      <c r="I17" s="6"/>
      <c r="R17" s="6" t="s">
        <v>326</v>
      </c>
    </row>
    <row r="18" spans="1:18" ht="20.25" thickTop="1" thickBot="1" x14ac:dyDescent="0.35">
      <c r="A18" s="3" t="s">
        <v>53</v>
      </c>
      <c r="B18" s="3" t="b">
        <f t="shared" si="0"/>
        <v>1</v>
      </c>
      <c r="C18" s="3" t="str">
        <f t="shared" si="1"/>
        <v>TEEN LGE-TYPE</v>
      </c>
      <c r="D18" s="4" t="s">
        <v>217</v>
      </c>
      <c r="E18" s="4">
        <v>999.99</v>
      </c>
      <c r="F18" s="4" t="s">
        <v>288</v>
      </c>
      <c r="G18" s="3" t="s">
        <v>218</v>
      </c>
      <c r="H18" s="20" t="s">
        <v>19</v>
      </c>
      <c r="I18" s="6"/>
    </row>
    <row r="19" spans="1:18" ht="20.25" thickTop="1" thickBot="1" x14ac:dyDescent="0.35">
      <c r="A19" s="3" t="s">
        <v>48</v>
      </c>
      <c r="B19" s="3" t="b">
        <f t="shared" si="0"/>
        <v>0</v>
      </c>
      <c r="C19" s="3" t="str">
        <f t="shared" si="1"/>
        <v>J LGE-TYPE BIO</v>
      </c>
      <c r="D19" s="4" t="s">
        <v>105</v>
      </c>
      <c r="E19" s="4" t="s">
        <v>63</v>
      </c>
      <c r="F19" s="4" t="s">
        <v>270</v>
      </c>
      <c r="G19" s="3" t="s">
        <v>107</v>
      </c>
      <c r="H19" s="20" t="s">
        <v>20</v>
      </c>
      <c r="I19" s="6"/>
    </row>
    <row r="20" spans="1:18" ht="20.25" thickTop="1" thickBot="1" x14ac:dyDescent="0.35">
      <c r="A20" s="3" t="s">
        <v>53</v>
      </c>
      <c r="B20" s="3" t="b">
        <f t="shared" si="0"/>
        <v>0</v>
      </c>
      <c r="C20" s="3" t="str">
        <f t="shared" si="1"/>
        <v>TEEN LGE-TYPE BIO</v>
      </c>
      <c r="D20" s="4" t="s">
        <v>217</v>
      </c>
      <c r="E20" s="4" t="s">
        <v>63</v>
      </c>
      <c r="F20" s="4" t="s">
        <v>289</v>
      </c>
      <c r="G20" s="3" t="s">
        <v>219</v>
      </c>
      <c r="H20" s="20" t="s">
        <v>20</v>
      </c>
      <c r="I20" s="6"/>
    </row>
    <row r="21" spans="1:18" ht="20.25" thickTop="1" thickBot="1" x14ac:dyDescent="0.35">
      <c r="A21" s="8" t="s">
        <v>21</v>
      </c>
      <c r="B21" s="8" t="b">
        <f t="shared" si="0"/>
        <v>0</v>
      </c>
      <c r="C21" s="8" t="str">
        <f t="shared" si="1"/>
        <v>TEEN CD FIC</v>
      </c>
      <c r="D21" s="9" t="s">
        <v>213</v>
      </c>
      <c r="E21" s="9" t="s">
        <v>66</v>
      </c>
      <c r="F21" s="9" t="s">
        <v>285</v>
      </c>
      <c r="G21" s="8" t="s">
        <v>212</v>
      </c>
      <c r="H21" s="20" t="s">
        <v>21</v>
      </c>
      <c r="I21" s="6"/>
    </row>
    <row r="22" spans="1:18" ht="20.25" thickTop="1" thickBot="1" x14ac:dyDescent="0.35">
      <c r="A22" s="8" t="s">
        <v>21</v>
      </c>
      <c r="B22" s="8" t="b">
        <f t="shared" si="0"/>
        <v>1</v>
      </c>
      <c r="C22" s="8" t="str">
        <f t="shared" si="1"/>
        <v>TEEN CD</v>
      </c>
      <c r="D22" s="9" t="s">
        <v>213</v>
      </c>
      <c r="E22" s="9">
        <v>999.99</v>
      </c>
      <c r="F22" s="9" t="s">
        <v>286</v>
      </c>
      <c r="G22" s="8" t="s">
        <v>214</v>
      </c>
      <c r="H22" s="20" t="s">
        <v>21</v>
      </c>
      <c r="I22" s="6"/>
    </row>
    <row r="23" spans="1:18" ht="20.25" thickTop="1" thickBot="1" x14ac:dyDescent="0.35">
      <c r="A23" s="8" t="s">
        <v>21</v>
      </c>
      <c r="B23" s="8" t="b">
        <f t="shared" si="0"/>
        <v>0</v>
      </c>
      <c r="C23" s="8" t="str">
        <f t="shared" si="1"/>
        <v>TEEN CD BIO</v>
      </c>
      <c r="D23" s="9" t="s">
        <v>213</v>
      </c>
      <c r="E23" s="9" t="s">
        <v>63</v>
      </c>
      <c r="F23" s="9" t="s">
        <v>287</v>
      </c>
      <c r="G23" s="8" t="s">
        <v>215</v>
      </c>
      <c r="H23" s="20" t="s">
        <v>21</v>
      </c>
      <c r="I23" s="6"/>
    </row>
    <row r="24" spans="1:18" ht="20.25" thickTop="1" thickBot="1" x14ac:dyDescent="0.35">
      <c r="A24" s="8" t="s">
        <v>22</v>
      </c>
      <c r="B24" s="8" t="b">
        <f t="shared" si="0"/>
        <v>0</v>
      </c>
      <c r="C24" s="8" t="str">
        <f t="shared" si="1"/>
        <v>TEEN</v>
      </c>
      <c r="D24" s="9" t="s">
        <v>210</v>
      </c>
      <c r="E24" s="9"/>
      <c r="F24" s="9" t="s">
        <v>283</v>
      </c>
      <c r="G24" s="8" t="s">
        <v>22</v>
      </c>
      <c r="H24" s="20" t="s">
        <v>22</v>
      </c>
      <c r="I24" s="6"/>
    </row>
    <row r="25" spans="1:18" ht="20.25" thickTop="1" thickBot="1" x14ac:dyDescent="0.35">
      <c r="A25" s="3" t="s">
        <v>23</v>
      </c>
      <c r="B25" s="3" t="b">
        <f t="shared" si="0"/>
        <v>0</v>
      </c>
      <c r="C25" s="3" t="str">
        <f t="shared" si="1"/>
        <v>LGE-TYPE</v>
      </c>
      <c r="D25" s="4" t="s">
        <v>149</v>
      </c>
      <c r="E25" s="4"/>
      <c r="F25" s="4" t="s">
        <v>279</v>
      </c>
      <c r="G25" s="3" t="s">
        <v>148</v>
      </c>
      <c r="H25" s="20" t="s">
        <v>23</v>
      </c>
      <c r="I25" s="6"/>
    </row>
    <row r="26" spans="1:18" ht="20.25" thickTop="1" thickBot="1" x14ac:dyDescent="0.35">
      <c r="A26" s="3" t="s">
        <v>23</v>
      </c>
      <c r="B26" s="3" t="b">
        <f t="shared" si="0"/>
        <v>1</v>
      </c>
      <c r="C26" s="3" t="str">
        <f t="shared" si="1"/>
        <v>LGE-TYPE</v>
      </c>
      <c r="D26" s="4" t="s">
        <v>149</v>
      </c>
      <c r="E26" s="4">
        <v>999.99</v>
      </c>
      <c r="F26" s="4" t="s">
        <v>280</v>
      </c>
      <c r="G26" s="3" t="s">
        <v>150</v>
      </c>
      <c r="H26" s="20" t="s">
        <v>23</v>
      </c>
      <c r="I26" s="6"/>
    </row>
    <row r="27" spans="1:18" ht="20.25" thickTop="1" thickBot="1" x14ac:dyDescent="0.35">
      <c r="A27" s="3" t="s">
        <v>23</v>
      </c>
      <c r="B27" s="3" t="b">
        <f t="shared" si="0"/>
        <v>0</v>
      </c>
      <c r="C27" s="3" t="str">
        <f t="shared" si="1"/>
        <v>LGE-TYPE BIO</v>
      </c>
      <c r="D27" s="4" t="s">
        <v>149</v>
      </c>
      <c r="E27" s="4" t="s">
        <v>63</v>
      </c>
      <c r="F27" s="4" t="s">
        <v>270</v>
      </c>
      <c r="G27" s="3" t="s">
        <v>151</v>
      </c>
      <c r="H27" s="20" t="s">
        <v>23</v>
      </c>
      <c r="I27" s="6"/>
    </row>
    <row r="28" spans="1:18" ht="20.25" thickTop="1" thickBot="1" x14ac:dyDescent="0.35">
      <c r="A28" s="3" t="s">
        <v>48</v>
      </c>
      <c r="B28" s="3" t="b">
        <f t="shared" si="0"/>
        <v>0</v>
      </c>
      <c r="C28" s="3" t="str">
        <f t="shared" si="1"/>
        <v>J LGE-TYPE</v>
      </c>
      <c r="D28" s="4" t="s">
        <v>105</v>
      </c>
      <c r="E28" s="4"/>
      <c r="F28" s="4" t="s">
        <v>268</v>
      </c>
      <c r="G28" s="3" t="s">
        <v>104</v>
      </c>
      <c r="H28" s="20" t="s">
        <v>23</v>
      </c>
      <c r="I28" s="6"/>
    </row>
    <row r="29" spans="1:18" ht="20.25" thickTop="1" thickBot="1" x14ac:dyDescent="0.35">
      <c r="A29" s="3" t="s">
        <v>53</v>
      </c>
      <c r="B29" s="3" t="b">
        <f t="shared" si="0"/>
        <v>0</v>
      </c>
      <c r="C29" s="3" t="str">
        <f t="shared" si="1"/>
        <v>TEEN LGE-TYPE</v>
      </c>
      <c r="D29" s="4" t="s">
        <v>217</v>
      </c>
      <c r="E29" s="4"/>
      <c r="F29" s="4" t="s">
        <v>279</v>
      </c>
      <c r="G29" s="3" t="s">
        <v>216</v>
      </c>
      <c r="H29" s="20" t="s">
        <v>23</v>
      </c>
      <c r="I29" s="6"/>
    </row>
    <row r="30" spans="1:18" ht="20.25" thickTop="1" thickBot="1" x14ac:dyDescent="0.35">
      <c r="A30" s="8" t="s">
        <v>26</v>
      </c>
      <c r="B30" s="8" t="b">
        <f t="shared" si="0"/>
        <v>0</v>
      </c>
      <c r="C30" s="8" t="str">
        <f t="shared" si="1"/>
        <v>J</v>
      </c>
      <c r="D30" s="9" t="s">
        <v>92</v>
      </c>
      <c r="E30" s="9"/>
      <c r="F30" s="9" t="s">
        <v>262</v>
      </c>
      <c r="G30" s="8" t="s">
        <v>91</v>
      </c>
      <c r="H30" s="20" t="s">
        <v>26</v>
      </c>
      <c r="I30" s="6"/>
    </row>
    <row r="31" spans="1:18" ht="20.25" thickTop="1" thickBot="1" x14ac:dyDescent="0.35">
      <c r="A31" s="8" t="s">
        <v>26</v>
      </c>
      <c r="B31" s="8" t="b">
        <f t="shared" si="0"/>
        <v>0</v>
      </c>
      <c r="C31" s="8" t="str">
        <f t="shared" si="1"/>
        <v>J SERIES</v>
      </c>
      <c r="D31" s="9" t="s">
        <v>57</v>
      </c>
      <c r="E31" s="9" t="s">
        <v>94</v>
      </c>
      <c r="F31" s="9" t="s">
        <v>305</v>
      </c>
      <c r="G31" s="8" t="s">
        <v>93</v>
      </c>
      <c r="H31" s="20" t="s">
        <v>26</v>
      </c>
      <c r="I31" s="6"/>
    </row>
    <row r="32" spans="1:18" ht="20.25" thickTop="1" thickBot="1" x14ac:dyDescent="0.35">
      <c r="A32" s="8" t="s">
        <v>40</v>
      </c>
      <c r="B32" s="8" t="b">
        <f t="shared" si="0"/>
        <v>0</v>
      </c>
      <c r="C32" s="8" t="str">
        <f t="shared" si="1"/>
        <v>J CD FIC</v>
      </c>
      <c r="D32" s="9" t="s">
        <v>97</v>
      </c>
      <c r="E32" s="9" t="s">
        <v>66</v>
      </c>
      <c r="F32" s="9" t="s">
        <v>263</v>
      </c>
      <c r="G32" s="8" t="s">
        <v>96</v>
      </c>
      <c r="H32" s="20" t="s">
        <v>40</v>
      </c>
      <c r="I32" s="6"/>
    </row>
    <row r="33" spans="1:9" ht="20.25" thickTop="1" thickBot="1" x14ac:dyDescent="0.35">
      <c r="A33" s="8" t="s">
        <v>40</v>
      </c>
      <c r="B33" s="8" t="b">
        <f t="shared" si="0"/>
        <v>1</v>
      </c>
      <c r="C33" s="8" t="str">
        <f t="shared" si="1"/>
        <v>J CD</v>
      </c>
      <c r="D33" s="9" t="s">
        <v>97</v>
      </c>
      <c r="E33" s="9">
        <v>999.99</v>
      </c>
      <c r="F33" s="9" t="s">
        <v>264</v>
      </c>
      <c r="G33" s="8" t="s">
        <v>98</v>
      </c>
      <c r="H33" s="20" t="s">
        <v>40</v>
      </c>
      <c r="I33" s="6"/>
    </row>
    <row r="34" spans="1:9" ht="20.25" thickTop="1" thickBot="1" x14ac:dyDescent="0.35">
      <c r="A34" s="8" t="s">
        <v>40</v>
      </c>
      <c r="B34" s="8" t="b">
        <f t="shared" ref="B34:B67" si="2">ISNUMBER(E34)</f>
        <v>0</v>
      </c>
      <c r="C34" s="8" t="str">
        <f t="shared" ref="C34:C67" si="3">TRIM(D34&amp;IF(NOT(B34)," "&amp;E34,""))</f>
        <v>J CD BIO</v>
      </c>
      <c r="D34" s="9" t="s">
        <v>97</v>
      </c>
      <c r="E34" s="9" t="s">
        <v>63</v>
      </c>
      <c r="F34" s="9" t="s">
        <v>265</v>
      </c>
      <c r="G34" s="8" t="s">
        <v>99</v>
      </c>
      <c r="H34" s="20" t="s">
        <v>40</v>
      </c>
      <c r="I34" s="6"/>
    </row>
    <row r="35" spans="1:9" ht="20.25" thickTop="1" thickBot="1" x14ac:dyDescent="0.35">
      <c r="A35" s="3" t="s">
        <v>27</v>
      </c>
      <c r="B35" s="3" t="b">
        <f t="shared" si="2"/>
        <v>0</v>
      </c>
      <c r="C35" s="3" t="str">
        <f t="shared" si="3"/>
        <v>J DVD</v>
      </c>
      <c r="D35" s="4" t="s">
        <v>101</v>
      </c>
      <c r="E35" s="4"/>
      <c r="F35" s="4" t="s">
        <v>266</v>
      </c>
      <c r="G35" s="3" t="s">
        <v>100</v>
      </c>
      <c r="H35" s="20" t="s">
        <v>27</v>
      </c>
      <c r="I35" s="6"/>
    </row>
    <row r="36" spans="1:9" ht="20.25" thickTop="1" thickBot="1" x14ac:dyDescent="0.35">
      <c r="A36" s="3" t="s">
        <v>28</v>
      </c>
      <c r="B36" s="3" t="b">
        <f t="shared" si="2"/>
        <v>0</v>
      </c>
      <c r="C36" s="3" t="str">
        <f t="shared" si="3"/>
        <v>J CD OH</v>
      </c>
      <c r="D36" s="4" t="s">
        <v>97</v>
      </c>
      <c r="E36" s="4" t="s">
        <v>134</v>
      </c>
      <c r="F36" s="4" t="s">
        <v>271</v>
      </c>
      <c r="G36" s="3" t="s">
        <v>133</v>
      </c>
      <c r="H36" s="20" t="s">
        <v>28</v>
      </c>
      <c r="I36" s="6"/>
    </row>
    <row r="37" spans="1:9" ht="20.25" thickTop="1" thickBot="1" x14ac:dyDescent="0.35">
      <c r="A37" s="3" t="s">
        <v>28</v>
      </c>
      <c r="B37" s="3" t="b">
        <f t="shared" si="2"/>
        <v>0</v>
      </c>
      <c r="C37" s="3" t="str">
        <f t="shared" si="3"/>
        <v>J CD OM</v>
      </c>
      <c r="D37" s="4" t="s">
        <v>97</v>
      </c>
      <c r="E37" s="4" t="s">
        <v>135</v>
      </c>
      <c r="F37" s="4" t="s">
        <v>271</v>
      </c>
      <c r="G37" s="3" t="s">
        <v>133</v>
      </c>
      <c r="H37" s="20" t="s">
        <v>28</v>
      </c>
      <c r="I37" s="6"/>
    </row>
    <row r="38" spans="1:9" ht="20.25" thickTop="1" thickBot="1" x14ac:dyDescent="0.35">
      <c r="A38" s="8" t="s">
        <v>29</v>
      </c>
      <c r="B38" s="8" t="b">
        <f t="shared" si="2"/>
        <v>0</v>
      </c>
      <c r="C38" s="8" t="str">
        <f t="shared" si="3"/>
        <v>E</v>
      </c>
      <c r="D38" s="9" t="s">
        <v>58</v>
      </c>
      <c r="E38" s="9"/>
      <c r="F38" s="9" t="s">
        <v>254</v>
      </c>
      <c r="G38" s="8" t="s">
        <v>292</v>
      </c>
      <c r="H38" s="20" t="s">
        <v>29</v>
      </c>
      <c r="I38" s="6"/>
    </row>
    <row r="39" spans="1:9" ht="20.25" thickTop="1" thickBot="1" x14ac:dyDescent="0.35">
      <c r="A39" s="14" t="s">
        <v>0</v>
      </c>
      <c r="B39" s="14" t="b">
        <f>ISNUMBER(E39)</f>
        <v>0</v>
      </c>
      <c r="C39" s="14" t="str">
        <f>TRIM(D39&amp;IF(NOT(B39)," "&amp;E39,""))</f>
        <v>E</v>
      </c>
      <c r="D39" s="9" t="s">
        <v>58</v>
      </c>
      <c r="E39" s="9"/>
      <c r="F39" s="9" t="s">
        <v>254</v>
      </c>
      <c r="G39" s="14" t="s">
        <v>306</v>
      </c>
      <c r="H39" s="20" t="s">
        <v>30</v>
      </c>
      <c r="I39" s="6"/>
    </row>
    <row r="40" spans="1:9" ht="20.25" thickTop="1" thickBot="1" x14ac:dyDescent="0.35">
      <c r="A40" s="8" t="s">
        <v>30</v>
      </c>
      <c r="B40" s="8" t="b">
        <f t="shared" si="2"/>
        <v>0</v>
      </c>
      <c r="C40" s="8" t="str">
        <f t="shared" si="3"/>
        <v>E</v>
      </c>
      <c r="D40" s="9" t="s">
        <v>58</v>
      </c>
      <c r="E40" s="9"/>
      <c r="F40" s="9" t="s">
        <v>254</v>
      </c>
      <c r="G40" s="8" t="s">
        <v>253</v>
      </c>
      <c r="H40" s="20" t="s">
        <v>30</v>
      </c>
      <c r="I40" s="6"/>
    </row>
    <row r="41" spans="1:9" ht="20.25" thickTop="1" thickBot="1" x14ac:dyDescent="0.35">
      <c r="A41" s="8" t="s">
        <v>30</v>
      </c>
      <c r="B41" s="8" t="b">
        <f t="shared" si="2"/>
        <v>0</v>
      </c>
      <c r="C41" s="8" t="str">
        <f t="shared" si="3"/>
        <v>E BOARD</v>
      </c>
      <c r="D41" s="9" t="s">
        <v>58</v>
      </c>
      <c r="E41" s="9" t="s">
        <v>60</v>
      </c>
      <c r="F41" s="9" t="s">
        <v>255</v>
      </c>
      <c r="G41" s="8" t="s">
        <v>59</v>
      </c>
      <c r="H41" s="20" t="s">
        <v>30</v>
      </c>
      <c r="I41" s="6"/>
    </row>
    <row r="42" spans="1:9" ht="20.25" thickTop="1" thickBot="1" x14ac:dyDescent="0.35">
      <c r="A42" s="8" t="s">
        <v>29</v>
      </c>
      <c r="B42" s="8" t="b">
        <f t="shared" si="2"/>
        <v>1</v>
      </c>
      <c r="C42" s="8" t="str">
        <f t="shared" si="3"/>
        <v>E</v>
      </c>
      <c r="D42" s="9" t="s">
        <v>58</v>
      </c>
      <c r="E42" s="9">
        <v>999.99</v>
      </c>
      <c r="F42" s="9" t="s">
        <v>294</v>
      </c>
      <c r="G42" s="8" t="s">
        <v>293</v>
      </c>
      <c r="H42" s="20" t="s">
        <v>31</v>
      </c>
      <c r="I42" s="6"/>
    </row>
    <row r="43" spans="1:9" ht="20.25" thickTop="1" thickBot="1" x14ac:dyDescent="0.35">
      <c r="A43" s="14" t="s">
        <v>0</v>
      </c>
      <c r="B43" s="14" t="b">
        <f>ISNUMBER(E43)</f>
        <v>1</v>
      </c>
      <c r="C43" s="14" t="str">
        <f>TRIM(D43&amp;IF(NOT(B43)," "&amp;E43,""))</f>
        <v>E</v>
      </c>
      <c r="D43" s="9" t="s">
        <v>58</v>
      </c>
      <c r="E43" s="9">
        <v>999.99</v>
      </c>
      <c r="F43" s="15"/>
      <c r="G43" s="14" t="s">
        <v>307</v>
      </c>
      <c r="H43" s="20" t="s">
        <v>31</v>
      </c>
      <c r="I43" s="6"/>
    </row>
    <row r="44" spans="1:9" ht="20.25" thickTop="1" thickBot="1" x14ac:dyDescent="0.35">
      <c r="A44" s="8" t="s">
        <v>45</v>
      </c>
      <c r="B44" s="8" t="b">
        <f t="shared" si="2"/>
        <v>1</v>
      </c>
      <c r="C44" s="8" t="str">
        <f t="shared" si="3"/>
        <v>E</v>
      </c>
      <c r="D44" s="9" t="s">
        <v>58</v>
      </c>
      <c r="E44" s="9">
        <v>999.99</v>
      </c>
      <c r="F44" s="9" t="s">
        <v>256</v>
      </c>
      <c r="G44" s="8" t="s">
        <v>45</v>
      </c>
      <c r="H44" s="20" t="s">
        <v>31</v>
      </c>
      <c r="I44" s="6"/>
    </row>
    <row r="45" spans="1:9" ht="20.25" thickTop="1" thickBot="1" x14ac:dyDescent="0.35">
      <c r="A45" s="8" t="s">
        <v>45</v>
      </c>
      <c r="B45" s="8" t="b">
        <f t="shared" si="2"/>
        <v>0</v>
      </c>
      <c r="C45" s="8" t="str">
        <f t="shared" si="3"/>
        <v>E BIO</v>
      </c>
      <c r="D45" s="9" t="s">
        <v>62</v>
      </c>
      <c r="E45" s="9" t="s">
        <v>63</v>
      </c>
      <c r="F45" s="9" t="s">
        <v>257</v>
      </c>
      <c r="G45" s="8" t="s">
        <v>61</v>
      </c>
      <c r="H45" s="20" t="s">
        <v>31</v>
      </c>
      <c r="I45" s="6"/>
    </row>
    <row r="46" spans="1:9" ht="20.25" thickTop="1" thickBot="1" x14ac:dyDescent="0.35">
      <c r="A46" s="8" t="s">
        <v>32</v>
      </c>
      <c r="B46" s="8" t="b">
        <f t="shared" si="2"/>
        <v>0</v>
      </c>
      <c r="C46" s="8" t="str">
        <f t="shared" si="3"/>
        <v>E CD FIC</v>
      </c>
      <c r="D46" s="9" t="s">
        <v>65</v>
      </c>
      <c r="E46" s="9" t="s">
        <v>66</v>
      </c>
      <c r="F46" s="9" t="s">
        <v>258</v>
      </c>
      <c r="G46" s="8" t="s">
        <v>64</v>
      </c>
      <c r="H46" s="20" t="s">
        <v>32</v>
      </c>
      <c r="I46" s="6"/>
    </row>
    <row r="47" spans="1:9" ht="20.25" thickTop="1" thickBot="1" x14ac:dyDescent="0.35">
      <c r="A47" s="8" t="s">
        <v>32</v>
      </c>
      <c r="B47" s="8" t="b">
        <f t="shared" si="2"/>
        <v>1</v>
      </c>
      <c r="C47" s="8" t="str">
        <f t="shared" si="3"/>
        <v>E CD</v>
      </c>
      <c r="D47" s="9" t="s">
        <v>65</v>
      </c>
      <c r="E47" s="9">
        <v>999.99</v>
      </c>
      <c r="F47" s="9" t="s">
        <v>259</v>
      </c>
      <c r="G47" s="8" t="s">
        <v>67</v>
      </c>
      <c r="H47" s="20" t="s">
        <v>32</v>
      </c>
      <c r="I47" s="6"/>
    </row>
    <row r="48" spans="1:9" ht="20.25" thickTop="1" thickBot="1" x14ac:dyDescent="0.35">
      <c r="A48" s="8" t="s">
        <v>32</v>
      </c>
      <c r="B48" s="8" t="b">
        <f t="shared" si="2"/>
        <v>0</v>
      </c>
      <c r="C48" s="8" t="str">
        <f t="shared" si="3"/>
        <v>E CD BIO</v>
      </c>
      <c r="D48" s="9" t="s">
        <v>65</v>
      </c>
      <c r="E48" s="9" t="s">
        <v>63</v>
      </c>
      <c r="F48" s="9" t="s">
        <v>260</v>
      </c>
      <c r="G48" s="8" t="s">
        <v>68</v>
      </c>
      <c r="H48" s="20" t="s">
        <v>32</v>
      </c>
      <c r="I48" s="6"/>
    </row>
    <row r="49" spans="1:9" ht="20.25" thickTop="1" thickBot="1" x14ac:dyDescent="0.35">
      <c r="A49" s="3" t="s">
        <v>33</v>
      </c>
      <c r="B49" s="3" t="b">
        <f t="shared" si="2"/>
        <v>0</v>
      </c>
      <c r="C49" s="3" t="str">
        <f t="shared" si="3"/>
        <v>E INTL-CHI</v>
      </c>
      <c r="D49" s="4" t="s">
        <v>74</v>
      </c>
      <c r="E49" s="4"/>
      <c r="F49" s="4" t="s">
        <v>261</v>
      </c>
      <c r="G49" s="3" t="s">
        <v>73</v>
      </c>
      <c r="H49" s="20" t="s">
        <v>33</v>
      </c>
      <c r="I49" s="6"/>
    </row>
    <row r="50" spans="1:9" ht="20.25" thickTop="1" thickBot="1" x14ac:dyDescent="0.35">
      <c r="A50" s="3" t="s">
        <v>33</v>
      </c>
      <c r="B50" s="3" t="b">
        <f t="shared" si="2"/>
        <v>1</v>
      </c>
      <c r="C50" s="3" t="str">
        <f t="shared" si="3"/>
        <v>E INTL-CHI</v>
      </c>
      <c r="D50" s="4" t="s">
        <v>84</v>
      </c>
      <c r="E50" s="4">
        <v>999.99</v>
      </c>
      <c r="F50" s="4" t="s">
        <v>256</v>
      </c>
      <c r="G50" s="3" t="s">
        <v>83</v>
      </c>
      <c r="H50" s="20" t="s">
        <v>33</v>
      </c>
      <c r="I50" s="6"/>
    </row>
    <row r="51" spans="1:9" ht="20.25" thickTop="1" thickBot="1" x14ac:dyDescent="0.35">
      <c r="A51" s="3" t="s">
        <v>33</v>
      </c>
      <c r="B51" s="3" t="b">
        <f t="shared" si="2"/>
        <v>0</v>
      </c>
      <c r="C51" s="3" t="str">
        <f t="shared" si="3"/>
        <v>J INTL-CHI</v>
      </c>
      <c r="D51" s="4" t="s">
        <v>114</v>
      </c>
      <c r="E51" s="4"/>
      <c r="F51" s="4" t="s">
        <v>262</v>
      </c>
      <c r="G51" s="3" t="s">
        <v>113</v>
      </c>
      <c r="H51" s="20" t="s">
        <v>33</v>
      </c>
      <c r="I51" s="6"/>
    </row>
    <row r="52" spans="1:9" ht="20.25" thickTop="1" thickBot="1" x14ac:dyDescent="0.35">
      <c r="A52" s="3" t="s">
        <v>33</v>
      </c>
      <c r="B52" s="3" t="b">
        <f t="shared" si="2"/>
        <v>1</v>
      </c>
      <c r="C52" s="3" t="str">
        <f t="shared" si="3"/>
        <v>J INTL-CHI</v>
      </c>
      <c r="D52" s="4" t="s">
        <v>114</v>
      </c>
      <c r="E52" s="4">
        <v>999.99</v>
      </c>
      <c r="F52" s="4" t="s">
        <v>256</v>
      </c>
      <c r="G52" s="3" t="s">
        <v>123</v>
      </c>
      <c r="H52" s="20" t="s">
        <v>33</v>
      </c>
      <c r="I52" s="6"/>
    </row>
    <row r="53" spans="1:9" ht="20.25" thickTop="1" thickBot="1" x14ac:dyDescent="0.35">
      <c r="A53" s="3" t="s">
        <v>33</v>
      </c>
      <c r="B53" s="3" t="b">
        <f t="shared" si="2"/>
        <v>0</v>
      </c>
      <c r="C53" s="3" t="str">
        <f t="shared" si="3"/>
        <v>J INTL-CHI BIO</v>
      </c>
      <c r="D53" s="4" t="s">
        <v>114</v>
      </c>
      <c r="E53" s="4" t="s">
        <v>63</v>
      </c>
      <c r="F53" s="4" t="s">
        <v>270</v>
      </c>
      <c r="G53" s="3" t="s">
        <v>129</v>
      </c>
      <c r="H53" s="20" t="s">
        <v>33</v>
      </c>
      <c r="I53" s="6"/>
    </row>
    <row r="54" spans="1:9" ht="20.25" thickTop="1" thickBot="1" x14ac:dyDescent="0.35">
      <c r="A54" s="3" t="s">
        <v>33</v>
      </c>
      <c r="B54" s="3" t="b">
        <f t="shared" si="2"/>
        <v>0</v>
      </c>
      <c r="C54" s="3" t="str">
        <f t="shared" si="3"/>
        <v>INTL-CHI FIC</v>
      </c>
      <c r="D54" s="4" t="s">
        <v>191</v>
      </c>
      <c r="E54" s="4" t="s">
        <v>187</v>
      </c>
      <c r="F54" s="4" t="s">
        <v>272</v>
      </c>
      <c r="G54" s="3" t="s">
        <v>190</v>
      </c>
      <c r="H54" s="20" t="s">
        <v>33</v>
      </c>
      <c r="I54" s="6"/>
    </row>
    <row r="55" spans="1:9" ht="20.25" thickTop="1" thickBot="1" x14ac:dyDescent="0.35">
      <c r="A55" s="3" t="s">
        <v>33</v>
      </c>
      <c r="B55" s="3" t="b">
        <f t="shared" si="2"/>
        <v>1</v>
      </c>
      <c r="C55" s="3" t="str">
        <f t="shared" si="3"/>
        <v>INTL-CHI</v>
      </c>
      <c r="D55" s="4" t="s">
        <v>191</v>
      </c>
      <c r="E55" s="4">
        <v>999.99</v>
      </c>
      <c r="F55" s="4" t="s">
        <v>273</v>
      </c>
      <c r="G55" s="3" t="s">
        <v>200</v>
      </c>
      <c r="H55" s="20" t="s">
        <v>33</v>
      </c>
      <c r="I55" s="6"/>
    </row>
    <row r="56" spans="1:9" ht="20.25" thickTop="1" thickBot="1" x14ac:dyDescent="0.35">
      <c r="A56" s="3" t="s">
        <v>33</v>
      </c>
      <c r="B56" s="3" t="b">
        <f t="shared" si="2"/>
        <v>0</v>
      </c>
      <c r="C56" s="3" t="str">
        <f t="shared" si="3"/>
        <v>INTL-CHI BIO</v>
      </c>
      <c r="D56" s="4" t="s">
        <v>191</v>
      </c>
      <c r="E56" s="4" t="s">
        <v>63</v>
      </c>
      <c r="F56" s="4" t="s">
        <v>270</v>
      </c>
      <c r="G56" s="3" t="s">
        <v>206</v>
      </c>
      <c r="H56" s="20" t="s">
        <v>33</v>
      </c>
      <c r="I56" s="6"/>
    </row>
    <row r="57" spans="1:9" ht="20.25" thickTop="1" thickBot="1" x14ac:dyDescent="0.35">
      <c r="A57" s="3" t="s">
        <v>33</v>
      </c>
      <c r="B57" s="3" t="b">
        <f t="shared" si="2"/>
        <v>0</v>
      </c>
      <c r="C57" s="3" t="str">
        <f t="shared" si="3"/>
        <v>TEEN INTL-CHI</v>
      </c>
      <c r="D57" s="4" t="s">
        <v>227</v>
      </c>
      <c r="E57" s="4"/>
      <c r="F57" s="4" t="s">
        <v>283</v>
      </c>
      <c r="G57" s="3" t="s">
        <v>226</v>
      </c>
      <c r="H57" s="20" t="s">
        <v>33</v>
      </c>
      <c r="I57" s="6"/>
    </row>
    <row r="58" spans="1:9" ht="20.25" thickTop="1" thickBot="1" x14ac:dyDescent="0.35">
      <c r="A58" s="3" t="s">
        <v>33</v>
      </c>
      <c r="B58" s="3" t="b">
        <f t="shared" si="2"/>
        <v>1</v>
      </c>
      <c r="C58" s="3" t="str">
        <f t="shared" si="3"/>
        <v>TEEN INTL-CHI</v>
      </c>
      <c r="D58" s="4" t="s">
        <v>227</v>
      </c>
      <c r="E58" s="4">
        <v>999.99</v>
      </c>
      <c r="F58" s="4" t="s">
        <v>284</v>
      </c>
      <c r="G58" s="3" t="s">
        <v>236</v>
      </c>
      <c r="H58" s="20" t="s">
        <v>33</v>
      </c>
      <c r="I58" s="6"/>
    </row>
    <row r="59" spans="1:9" ht="20.25" thickTop="1" thickBot="1" x14ac:dyDescent="0.35">
      <c r="A59" s="3" t="s">
        <v>33</v>
      </c>
      <c r="B59" s="3" t="b">
        <f t="shared" si="2"/>
        <v>0</v>
      </c>
      <c r="C59" s="3" t="str">
        <f t="shared" si="3"/>
        <v>TEEN INTL-CHI BIO</v>
      </c>
      <c r="D59" s="4" t="s">
        <v>227</v>
      </c>
      <c r="E59" s="4" t="s">
        <v>63</v>
      </c>
      <c r="F59" s="4" t="s">
        <v>270</v>
      </c>
      <c r="G59" s="3" t="s">
        <v>243</v>
      </c>
      <c r="H59" s="20" t="s">
        <v>33</v>
      </c>
      <c r="I59" s="6"/>
    </row>
    <row r="60" spans="1:9" ht="20.25" thickTop="1" thickBot="1" x14ac:dyDescent="0.35">
      <c r="A60" s="3" t="s">
        <v>34</v>
      </c>
      <c r="B60" s="3" t="b">
        <f t="shared" si="2"/>
        <v>0</v>
      </c>
      <c r="C60" s="3" t="str">
        <f t="shared" si="3"/>
        <v>E INTL-KOR</v>
      </c>
      <c r="D60" s="4" t="s">
        <v>70</v>
      </c>
      <c r="E60" s="4"/>
      <c r="F60" s="4" t="s">
        <v>261</v>
      </c>
      <c r="G60" s="3" t="s">
        <v>69</v>
      </c>
      <c r="H60" s="20" t="s">
        <v>34</v>
      </c>
      <c r="I60" s="6"/>
    </row>
    <row r="61" spans="1:9" ht="20.25" thickTop="1" thickBot="1" x14ac:dyDescent="0.35">
      <c r="A61" s="3" t="s">
        <v>34</v>
      </c>
      <c r="B61" s="3" t="b">
        <f t="shared" si="2"/>
        <v>1</v>
      </c>
      <c r="C61" s="3" t="str">
        <f t="shared" si="3"/>
        <v>E INTL-KOR</v>
      </c>
      <c r="D61" s="4" t="s">
        <v>70</v>
      </c>
      <c r="E61" s="4">
        <v>999.99</v>
      </c>
      <c r="F61" s="4" t="s">
        <v>256</v>
      </c>
      <c r="G61" s="3" t="s">
        <v>81</v>
      </c>
      <c r="H61" s="20" t="s">
        <v>34</v>
      </c>
      <c r="I61" s="6"/>
    </row>
    <row r="62" spans="1:9" ht="20.25" thickTop="1" thickBot="1" x14ac:dyDescent="0.35">
      <c r="A62" s="3" t="s">
        <v>34</v>
      </c>
      <c r="B62" s="3" t="b">
        <f t="shared" si="2"/>
        <v>0</v>
      </c>
      <c r="C62" s="3" t="str">
        <f t="shared" si="3"/>
        <v>J INTL-KOR</v>
      </c>
      <c r="D62" s="4" t="s">
        <v>110</v>
      </c>
      <c r="E62" s="4"/>
      <c r="F62" s="4" t="s">
        <v>262</v>
      </c>
      <c r="G62" s="3" t="s">
        <v>109</v>
      </c>
      <c r="H62" s="20" t="s">
        <v>34</v>
      </c>
      <c r="I62" s="6"/>
    </row>
    <row r="63" spans="1:9" ht="20.25" thickTop="1" thickBot="1" x14ac:dyDescent="0.35">
      <c r="A63" s="3" t="s">
        <v>34</v>
      </c>
      <c r="B63" s="3" t="b">
        <f t="shared" si="2"/>
        <v>1</v>
      </c>
      <c r="C63" s="3" t="str">
        <f t="shared" si="3"/>
        <v>J INTL-KOR</v>
      </c>
      <c r="D63" s="4" t="s">
        <v>110</v>
      </c>
      <c r="E63" s="4">
        <v>999.99</v>
      </c>
      <c r="F63" s="4" t="s">
        <v>256</v>
      </c>
      <c r="G63" s="3" t="s">
        <v>121</v>
      </c>
      <c r="H63" s="20" t="s">
        <v>34</v>
      </c>
      <c r="I63" s="6"/>
    </row>
    <row r="64" spans="1:9" ht="20.25" thickTop="1" thickBot="1" x14ac:dyDescent="0.35">
      <c r="A64" s="3" t="s">
        <v>34</v>
      </c>
      <c r="B64" s="3" t="b">
        <f t="shared" si="2"/>
        <v>0</v>
      </c>
      <c r="C64" s="3" t="str">
        <f t="shared" si="3"/>
        <v>J INTL-KOR BIO</v>
      </c>
      <c r="D64" s="4" t="s">
        <v>110</v>
      </c>
      <c r="E64" s="4" t="s">
        <v>63</v>
      </c>
      <c r="F64" s="4" t="s">
        <v>270</v>
      </c>
      <c r="G64" s="3" t="s">
        <v>127</v>
      </c>
      <c r="H64" s="20" t="s">
        <v>34</v>
      </c>
      <c r="I64" s="6"/>
    </row>
    <row r="65" spans="1:9" ht="20.25" thickTop="1" thickBot="1" x14ac:dyDescent="0.35">
      <c r="A65" s="3" t="s">
        <v>34</v>
      </c>
      <c r="B65" s="3" t="b">
        <f t="shared" si="2"/>
        <v>0</v>
      </c>
      <c r="C65" s="3" t="str">
        <f t="shared" si="3"/>
        <v>INTL-KOR FIC</v>
      </c>
      <c r="D65" s="4" t="s">
        <v>186</v>
      </c>
      <c r="E65" s="4" t="s">
        <v>187</v>
      </c>
      <c r="F65" s="4" t="s">
        <v>272</v>
      </c>
      <c r="G65" s="3" t="s">
        <v>185</v>
      </c>
      <c r="H65" s="20" t="s">
        <v>34</v>
      </c>
      <c r="I65" s="6"/>
    </row>
    <row r="66" spans="1:9" ht="20.25" thickTop="1" thickBot="1" x14ac:dyDescent="0.35">
      <c r="A66" s="3" t="s">
        <v>34</v>
      </c>
      <c r="B66" s="3" t="b">
        <f t="shared" si="2"/>
        <v>1</v>
      </c>
      <c r="C66" s="3" t="str">
        <f t="shared" si="3"/>
        <v>INTL-KOR</v>
      </c>
      <c r="D66" s="4" t="s">
        <v>186</v>
      </c>
      <c r="E66" s="4">
        <v>999.99</v>
      </c>
      <c r="F66" s="4" t="s">
        <v>273</v>
      </c>
      <c r="G66" s="3" t="s">
        <v>198</v>
      </c>
      <c r="H66" s="20" t="s">
        <v>34</v>
      </c>
      <c r="I66" s="6"/>
    </row>
    <row r="67" spans="1:9" ht="20.25" thickTop="1" thickBot="1" x14ac:dyDescent="0.35">
      <c r="A67" s="3" t="s">
        <v>34</v>
      </c>
      <c r="B67" s="3" t="b">
        <f t="shared" si="2"/>
        <v>0</v>
      </c>
      <c r="C67" s="3" t="str">
        <f t="shared" si="3"/>
        <v>INTL-KOR BIO</v>
      </c>
      <c r="D67" s="4" t="s">
        <v>186</v>
      </c>
      <c r="E67" s="4" t="s">
        <v>63</v>
      </c>
      <c r="F67" s="4" t="s">
        <v>270</v>
      </c>
      <c r="G67" s="3" t="s">
        <v>204</v>
      </c>
      <c r="H67" s="20" t="s">
        <v>34</v>
      </c>
      <c r="I67" s="6"/>
    </row>
    <row r="68" spans="1:9" ht="20.25" thickTop="1" thickBot="1" x14ac:dyDescent="0.35">
      <c r="A68" s="3" t="s">
        <v>34</v>
      </c>
      <c r="B68" s="3" t="b">
        <f t="shared" ref="B68:B99" si="4">ISNUMBER(E68)</f>
        <v>0</v>
      </c>
      <c r="C68" s="3" t="str">
        <f t="shared" ref="C68:C99" si="5">TRIM(D68&amp;IF(NOT(B68)," "&amp;E68,""))</f>
        <v>TEEN INTL-KOR</v>
      </c>
      <c r="D68" s="4" t="s">
        <v>223</v>
      </c>
      <c r="E68" s="4"/>
      <c r="F68" s="4" t="s">
        <v>283</v>
      </c>
      <c r="G68" s="3" t="s">
        <v>222</v>
      </c>
      <c r="H68" s="20" t="s">
        <v>34</v>
      </c>
      <c r="I68" s="6"/>
    </row>
    <row r="69" spans="1:9" ht="20.25" thickTop="1" thickBot="1" x14ac:dyDescent="0.35">
      <c r="A69" s="3" t="s">
        <v>34</v>
      </c>
      <c r="B69" s="3" t="b">
        <f t="shared" si="4"/>
        <v>1</v>
      </c>
      <c r="C69" s="3" t="str">
        <f t="shared" si="5"/>
        <v>TEEN INTL-KOR</v>
      </c>
      <c r="D69" s="4" t="s">
        <v>223</v>
      </c>
      <c r="E69" s="4">
        <v>999.99</v>
      </c>
      <c r="F69" s="4" t="s">
        <v>284</v>
      </c>
      <c r="G69" s="3" t="s">
        <v>234</v>
      </c>
      <c r="H69" s="20" t="s">
        <v>34</v>
      </c>
      <c r="I69" s="6"/>
    </row>
    <row r="70" spans="1:9" ht="20.25" thickTop="1" thickBot="1" x14ac:dyDescent="0.35">
      <c r="A70" s="3" t="s">
        <v>34</v>
      </c>
      <c r="B70" s="3" t="b">
        <f t="shared" si="4"/>
        <v>0</v>
      </c>
      <c r="C70" s="3" t="str">
        <f t="shared" si="5"/>
        <v>TEEN INTL-KOR BIO</v>
      </c>
      <c r="D70" s="4" t="s">
        <v>241</v>
      </c>
      <c r="E70" s="4" t="s">
        <v>63</v>
      </c>
      <c r="F70" s="4" t="s">
        <v>270</v>
      </c>
      <c r="G70" s="3" t="s">
        <v>240</v>
      </c>
      <c r="H70" s="20" t="s">
        <v>34</v>
      </c>
      <c r="I70" s="6"/>
    </row>
    <row r="71" spans="1:9" ht="20.25" thickTop="1" thickBot="1" x14ac:dyDescent="0.35">
      <c r="A71" s="3" t="s">
        <v>35</v>
      </c>
      <c r="B71" s="3" t="b">
        <f t="shared" si="4"/>
        <v>0</v>
      </c>
      <c r="C71" s="3" t="str">
        <f t="shared" si="5"/>
        <v>E INTL-JPN</v>
      </c>
      <c r="D71" s="4" t="s">
        <v>72</v>
      </c>
      <c r="E71" s="4"/>
      <c r="F71" s="4" t="s">
        <v>261</v>
      </c>
      <c r="G71" s="3" t="s">
        <v>71</v>
      </c>
      <c r="H71" s="20" t="s">
        <v>35</v>
      </c>
      <c r="I71" s="6"/>
    </row>
    <row r="72" spans="1:9" ht="20.25" thickTop="1" thickBot="1" x14ac:dyDescent="0.35">
      <c r="A72" s="3" t="s">
        <v>35</v>
      </c>
      <c r="B72" s="3" t="b">
        <f t="shared" si="4"/>
        <v>1</v>
      </c>
      <c r="C72" s="3" t="str">
        <f t="shared" si="5"/>
        <v>E INTL-JPN</v>
      </c>
      <c r="D72" s="4" t="s">
        <v>72</v>
      </c>
      <c r="E72" s="4">
        <v>999.99</v>
      </c>
      <c r="F72" s="4" t="s">
        <v>256</v>
      </c>
      <c r="G72" s="3" t="s">
        <v>82</v>
      </c>
      <c r="H72" s="20" t="s">
        <v>35</v>
      </c>
      <c r="I72" s="6"/>
    </row>
    <row r="73" spans="1:9" ht="20.25" thickTop="1" thickBot="1" x14ac:dyDescent="0.35">
      <c r="A73" s="3" t="s">
        <v>35</v>
      </c>
      <c r="B73" s="3" t="b">
        <f t="shared" si="4"/>
        <v>0</v>
      </c>
      <c r="C73" s="3" t="str">
        <f t="shared" si="5"/>
        <v>J INTL-JPN</v>
      </c>
      <c r="D73" s="4" t="s">
        <v>112</v>
      </c>
      <c r="E73" s="4"/>
      <c r="F73" s="4" t="s">
        <v>262</v>
      </c>
      <c r="G73" s="3" t="s">
        <v>111</v>
      </c>
      <c r="H73" s="20" t="s">
        <v>35</v>
      </c>
      <c r="I73" s="6"/>
    </row>
    <row r="74" spans="1:9" ht="20.25" thickTop="1" thickBot="1" x14ac:dyDescent="0.35">
      <c r="A74" s="3" t="s">
        <v>35</v>
      </c>
      <c r="B74" s="3" t="b">
        <f t="shared" si="4"/>
        <v>1</v>
      </c>
      <c r="C74" s="3" t="str">
        <f t="shared" si="5"/>
        <v>J INTL-JPN</v>
      </c>
      <c r="D74" s="4" t="s">
        <v>112</v>
      </c>
      <c r="E74" s="4">
        <v>999.99</v>
      </c>
      <c r="F74" s="4" t="s">
        <v>256</v>
      </c>
      <c r="G74" s="3" t="s">
        <v>122</v>
      </c>
      <c r="H74" s="20" t="s">
        <v>35</v>
      </c>
      <c r="I74" s="6"/>
    </row>
    <row r="75" spans="1:9" ht="20.25" thickTop="1" thickBot="1" x14ac:dyDescent="0.35">
      <c r="A75" s="3" t="s">
        <v>35</v>
      </c>
      <c r="B75" s="3" t="b">
        <f t="shared" si="4"/>
        <v>0</v>
      </c>
      <c r="C75" s="3" t="str">
        <f t="shared" si="5"/>
        <v>J INTL-JPN BIO</v>
      </c>
      <c r="D75" s="4" t="s">
        <v>112</v>
      </c>
      <c r="E75" s="4" t="s">
        <v>63</v>
      </c>
      <c r="F75" s="4" t="s">
        <v>270</v>
      </c>
      <c r="G75" s="3" t="s">
        <v>128</v>
      </c>
      <c r="H75" s="20" t="s">
        <v>35</v>
      </c>
      <c r="I75" s="6"/>
    </row>
    <row r="76" spans="1:9" ht="20.25" thickTop="1" thickBot="1" x14ac:dyDescent="0.35">
      <c r="A76" s="3" t="s">
        <v>35</v>
      </c>
      <c r="B76" s="3" t="b">
        <f t="shared" si="4"/>
        <v>0</v>
      </c>
      <c r="C76" s="3" t="str">
        <f t="shared" si="5"/>
        <v>INTL-JPN FIC</v>
      </c>
      <c r="D76" s="4" t="s">
        <v>189</v>
      </c>
      <c r="E76" s="4" t="s">
        <v>187</v>
      </c>
      <c r="F76" s="4" t="s">
        <v>272</v>
      </c>
      <c r="G76" s="3" t="s">
        <v>188</v>
      </c>
      <c r="H76" s="20" t="s">
        <v>35</v>
      </c>
      <c r="I76" s="6"/>
    </row>
    <row r="77" spans="1:9" ht="20.25" thickTop="1" thickBot="1" x14ac:dyDescent="0.35">
      <c r="A77" s="3" t="s">
        <v>35</v>
      </c>
      <c r="B77" s="3" t="b">
        <f t="shared" si="4"/>
        <v>1</v>
      </c>
      <c r="C77" s="3" t="str">
        <f t="shared" si="5"/>
        <v>INTL-JPN</v>
      </c>
      <c r="D77" s="4" t="s">
        <v>189</v>
      </c>
      <c r="E77" s="4">
        <v>999.99</v>
      </c>
      <c r="F77" s="4" t="s">
        <v>273</v>
      </c>
      <c r="G77" s="3" t="s">
        <v>199</v>
      </c>
      <c r="H77" s="20" t="s">
        <v>35</v>
      </c>
      <c r="I77" s="6"/>
    </row>
    <row r="78" spans="1:9" ht="20.25" thickTop="1" thickBot="1" x14ac:dyDescent="0.35">
      <c r="A78" s="3" t="s">
        <v>35</v>
      </c>
      <c r="B78" s="3" t="b">
        <f t="shared" si="4"/>
        <v>0</v>
      </c>
      <c r="C78" s="3" t="str">
        <f t="shared" si="5"/>
        <v>INTL-JPN BIO</v>
      </c>
      <c r="D78" s="4" t="s">
        <v>189</v>
      </c>
      <c r="E78" s="4" t="s">
        <v>63</v>
      </c>
      <c r="F78" s="4" t="s">
        <v>270</v>
      </c>
      <c r="G78" s="3" t="s">
        <v>205</v>
      </c>
      <c r="H78" s="20" t="s">
        <v>35</v>
      </c>
      <c r="I78" s="6"/>
    </row>
    <row r="79" spans="1:9" ht="20.25" thickTop="1" thickBot="1" x14ac:dyDescent="0.35">
      <c r="A79" s="3" t="s">
        <v>35</v>
      </c>
      <c r="B79" s="3" t="b">
        <f t="shared" si="4"/>
        <v>0</v>
      </c>
      <c r="C79" s="3" t="str">
        <f t="shared" si="5"/>
        <v>TEEN INTL-JPN</v>
      </c>
      <c r="D79" s="4" t="s">
        <v>225</v>
      </c>
      <c r="E79" s="4"/>
      <c r="F79" s="4" t="s">
        <v>283</v>
      </c>
      <c r="G79" s="3" t="s">
        <v>224</v>
      </c>
      <c r="H79" s="20" t="s">
        <v>35</v>
      </c>
      <c r="I79" s="6"/>
    </row>
    <row r="80" spans="1:9" ht="20.25" thickTop="1" thickBot="1" x14ac:dyDescent="0.35">
      <c r="A80" s="3" t="s">
        <v>35</v>
      </c>
      <c r="B80" s="3" t="b">
        <f t="shared" si="4"/>
        <v>1</v>
      </c>
      <c r="C80" s="3" t="str">
        <f t="shared" si="5"/>
        <v>TEEN INTL-JPN</v>
      </c>
      <c r="D80" s="4" t="s">
        <v>225</v>
      </c>
      <c r="E80" s="4">
        <v>999.99</v>
      </c>
      <c r="F80" s="4" t="s">
        <v>284</v>
      </c>
      <c r="G80" s="3" t="s">
        <v>235</v>
      </c>
      <c r="H80" s="20" t="s">
        <v>35</v>
      </c>
      <c r="I80" s="6"/>
    </row>
    <row r="81" spans="1:9" ht="20.25" thickTop="1" thickBot="1" x14ac:dyDescent="0.35">
      <c r="A81" s="3" t="s">
        <v>35</v>
      </c>
      <c r="B81" s="3" t="b">
        <f t="shared" si="4"/>
        <v>0</v>
      </c>
      <c r="C81" s="3" t="str">
        <f t="shared" si="5"/>
        <v>TEEN INTL-JPN BIO</v>
      </c>
      <c r="D81" s="4" t="s">
        <v>225</v>
      </c>
      <c r="E81" s="4" t="s">
        <v>63</v>
      </c>
      <c r="F81" s="4" t="s">
        <v>270</v>
      </c>
      <c r="G81" s="3" t="s">
        <v>242</v>
      </c>
      <c r="H81" s="20" t="s">
        <v>35</v>
      </c>
      <c r="I81" s="6"/>
    </row>
    <row r="82" spans="1:9" ht="20.25" thickTop="1" thickBot="1" x14ac:dyDescent="0.35">
      <c r="A82" s="3" t="s">
        <v>41</v>
      </c>
      <c r="B82" s="3" t="b">
        <f t="shared" si="4"/>
        <v>0</v>
      </c>
      <c r="C82" s="3" t="str">
        <f t="shared" si="5"/>
        <v>E INTL-RUS</v>
      </c>
      <c r="D82" s="4" t="s">
        <v>76</v>
      </c>
      <c r="E82" s="4"/>
      <c r="F82" s="4" t="s">
        <v>261</v>
      </c>
      <c r="G82" s="3" t="s">
        <v>75</v>
      </c>
      <c r="H82" s="20" t="s">
        <v>41</v>
      </c>
      <c r="I82" s="6"/>
    </row>
    <row r="83" spans="1:9" ht="20.25" thickTop="1" thickBot="1" x14ac:dyDescent="0.35">
      <c r="A83" s="3" t="s">
        <v>41</v>
      </c>
      <c r="B83" s="3" t="b">
        <f t="shared" si="4"/>
        <v>1</v>
      </c>
      <c r="C83" s="3" t="str">
        <f t="shared" si="5"/>
        <v>E INTL-RUS</v>
      </c>
      <c r="D83" s="4" t="s">
        <v>86</v>
      </c>
      <c r="E83" s="4">
        <v>999.99</v>
      </c>
      <c r="F83" s="4" t="s">
        <v>256</v>
      </c>
      <c r="G83" s="3" t="s">
        <v>85</v>
      </c>
      <c r="H83" s="20" t="s">
        <v>41</v>
      </c>
      <c r="I83" s="6"/>
    </row>
    <row r="84" spans="1:9" ht="20.25" thickTop="1" thickBot="1" x14ac:dyDescent="0.35">
      <c r="A84" s="3" t="s">
        <v>41</v>
      </c>
      <c r="B84" s="3" t="b">
        <f t="shared" si="4"/>
        <v>0</v>
      </c>
      <c r="C84" s="3" t="str">
        <f t="shared" si="5"/>
        <v>J INTL-RUS</v>
      </c>
      <c r="D84" s="4" t="s">
        <v>116</v>
      </c>
      <c r="E84" s="4"/>
      <c r="F84" s="4" t="s">
        <v>262</v>
      </c>
      <c r="G84" s="3" t="s">
        <v>115</v>
      </c>
      <c r="H84" s="20" t="s">
        <v>41</v>
      </c>
      <c r="I84" s="6"/>
    </row>
    <row r="85" spans="1:9" ht="20.25" thickTop="1" thickBot="1" x14ac:dyDescent="0.35">
      <c r="A85" s="3" t="s">
        <v>41</v>
      </c>
      <c r="B85" s="3" t="b">
        <f t="shared" si="4"/>
        <v>1</v>
      </c>
      <c r="C85" s="3" t="str">
        <f t="shared" si="5"/>
        <v>J INTL-RUS</v>
      </c>
      <c r="D85" s="4" t="s">
        <v>116</v>
      </c>
      <c r="E85" s="4">
        <v>999.99</v>
      </c>
      <c r="F85" s="4" t="s">
        <v>256</v>
      </c>
      <c r="G85" s="3" t="s">
        <v>124</v>
      </c>
      <c r="H85" s="20" t="s">
        <v>41</v>
      </c>
      <c r="I85" s="6"/>
    </row>
    <row r="86" spans="1:9" ht="20.25" thickTop="1" thickBot="1" x14ac:dyDescent="0.35">
      <c r="A86" s="3" t="s">
        <v>41</v>
      </c>
      <c r="B86" s="3" t="b">
        <f t="shared" si="4"/>
        <v>0</v>
      </c>
      <c r="C86" s="3" t="str">
        <f t="shared" si="5"/>
        <v>J INTL-RUS BIO</v>
      </c>
      <c r="D86" s="4" t="s">
        <v>116</v>
      </c>
      <c r="E86" s="4" t="s">
        <v>63</v>
      </c>
      <c r="F86" s="4" t="s">
        <v>270</v>
      </c>
      <c r="G86" s="3" t="s">
        <v>130</v>
      </c>
      <c r="H86" s="20" t="s">
        <v>41</v>
      </c>
      <c r="I86" s="6"/>
    </row>
    <row r="87" spans="1:9" ht="20.25" thickTop="1" thickBot="1" x14ac:dyDescent="0.35">
      <c r="A87" s="3" t="s">
        <v>41</v>
      </c>
      <c r="B87" s="3" t="b">
        <f t="shared" si="4"/>
        <v>0</v>
      </c>
      <c r="C87" s="3" t="str">
        <f t="shared" si="5"/>
        <v>INTL-RUS FIC</v>
      </c>
      <c r="D87" s="4" t="s">
        <v>193</v>
      </c>
      <c r="E87" s="4" t="s">
        <v>187</v>
      </c>
      <c r="F87" s="4" t="s">
        <v>272</v>
      </c>
      <c r="G87" s="3" t="s">
        <v>192</v>
      </c>
      <c r="H87" s="20" t="s">
        <v>41</v>
      </c>
      <c r="I87" s="6"/>
    </row>
    <row r="88" spans="1:9" ht="20.25" thickTop="1" thickBot="1" x14ac:dyDescent="0.35">
      <c r="A88" s="3" t="s">
        <v>41</v>
      </c>
      <c r="B88" s="3" t="b">
        <f t="shared" si="4"/>
        <v>1</v>
      </c>
      <c r="C88" s="3" t="str">
        <f t="shared" si="5"/>
        <v>INTL-RUS</v>
      </c>
      <c r="D88" s="4" t="s">
        <v>193</v>
      </c>
      <c r="E88" s="4">
        <v>999.99</v>
      </c>
      <c r="F88" s="4" t="s">
        <v>273</v>
      </c>
      <c r="G88" s="3" t="s">
        <v>201</v>
      </c>
      <c r="H88" s="20" t="s">
        <v>41</v>
      </c>
      <c r="I88" s="6"/>
    </row>
    <row r="89" spans="1:9" ht="20.25" thickTop="1" thickBot="1" x14ac:dyDescent="0.35">
      <c r="A89" s="3" t="s">
        <v>41</v>
      </c>
      <c r="B89" s="3" t="b">
        <f t="shared" si="4"/>
        <v>0</v>
      </c>
      <c r="C89" s="3" t="str">
        <f t="shared" si="5"/>
        <v>INTL-RUS BIO</v>
      </c>
      <c r="D89" s="4" t="s">
        <v>193</v>
      </c>
      <c r="E89" s="4" t="s">
        <v>63</v>
      </c>
      <c r="F89" s="4" t="s">
        <v>270</v>
      </c>
      <c r="G89" s="3" t="s">
        <v>207</v>
      </c>
      <c r="H89" s="20" t="s">
        <v>41</v>
      </c>
      <c r="I89" s="6"/>
    </row>
    <row r="90" spans="1:9" ht="20.25" thickTop="1" thickBot="1" x14ac:dyDescent="0.35">
      <c r="A90" s="3" t="s">
        <v>41</v>
      </c>
      <c r="B90" s="3" t="b">
        <f t="shared" si="4"/>
        <v>0</v>
      </c>
      <c r="C90" s="3" t="str">
        <f t="shared" si="5"/>
        <v>TEEN INTL-RUS</v>
      </c>
      <c r="D90" s="4" t="s">
        <v>229</v>
      </c>
      <c r="E90" s="4"/>
      <c r="F90" s="4" t="s">
        <v>283</v>
      </c>
      <c r="G90" s="3" t="s">
        <v>228</v>
      </c>
      <c r="H90" s="20" t="s">
        <v>41</v>
      </c>
      <c r="I90" s="6"/>
    </row>
    <row r="91" spans="1:9" ht="20.25" thickTop="1" thickBot="1" x14ac:dyDescent="0.35">
      <c r="A91" s="3" t="s">
        <v>41</v>
      </c>
      <c r="B91" s="3" t="b">
        <f t="shared" si="4"/>
        <v>1</v>
      </c>
      <c r="C91" s="3" t="str">
        <f t="shared" si="5"/>
        <v>TEEN INTL-RUS</v>
      </c>
      <c r="D91" s="4" t="s">
        <v>229</v>
      </c>
      <c r="E91" s="4">
        <v>999.99</v>
      </c>
      <c r="F91" s="4" t="s">
        <v>284</v>
      </c>
      <c r="G91" s="3" t="s">
        <v>237</v>
      </c>
      <c r="H91" s="20" t="s">
        <v>41</v>
      </c>
      <c r="I91" s="6"/>
    </row>
    <row r="92" spans="1:9" ht="20.25" thickTop="1" thickBot="1" x14ac:dyDescent="0.35">
      <c r="A92" s="3" t="s">
        <v>41</v>
      </c>
      <c r="B92" s="3" t="b">
        <f t="shared" si="4"/>
        <v>0</v>
      </c>
      <c r="C92" s="3" t="str">
        <f t="shared" si="5"/>
        <v>TEEN INTL-RUS BIO</v>
      </c>
      <c r="D92" s="4" t="s">
        <v>229</v>
      </c>
      <c r="E92" s="4" t="s">
        <v>63</v>
      </c>
      <c r="F92" s="4" t="s">
        <v>270</v>
      </c>
      <c r="G92" s="3" t="s">
        <v>244</v>
      </c>
      <c r="H92" s="20" t="s">
        <v>41</v>
      </c>
      <c r="I92" s="6"/>
    </row>
    <row r="93" spans="1:9" ht="20.25" thickTop="1" thickBot="1" x14ac:dyDescent="0.35">
      <c r="A93" s="3" t="s">
        <v>36</v>
      </c>
      <c r="B93" s="3" t="b">
        <f t="shared" si="4"/>
        <v>0</v>
      </c>
      <c r="C93" s="3" t="str">
        <f t="shared" si="5"/>
        <v>E INTL-SPA</v>
      </c>
      <c r="D93" s="4" t="s">
        <v>78</v>
      </c>
      <c r="E93" s="4"/>
      <c r="F93" s="4" t="s">
        <v>261</v>
      </c>
      <c r="G93" s="3" t="s">
        <v>77</v>
      </c>
      <c r="H93" s="20" t="s">
        <v>36</v>
      </c>
      <c r="I93" s="6"/>
    </row>
    <row r="94" spans="1:9" ht="20.25" thickTop="1" thickBot="1" x14ac:dyDescent="0.35">
      <c r="A94" s="3" t="s">
        <v>36</v>
      </c>
      <c r="B94" s="3" t="b">
        <f t="shared" si="4"/>
        <v>1</v>
      </c>
      <c r="C94" s="3" t="str">
        <f t="shared" si="5"/>
        <v>E INTL-SPA</v>
      </c>
      <c r="D94" s="4" t="s">
        <v>88</v>
      </c>
      <c r="E94" s="4">
        <v>999.99</v>
      </c>
      <c r="F94" s="4" t="s">
        <v>256</v>
      </c>
      <c r="G94" s="3" t="s">
        <v>87</v>
      </c>
      <c r="H94" s="20" t="s">
        <v>36</v>
      </c>
      <c r="I94" s="6"/>
    </row>
    <row r="95" spans="1:9" ht="20.25" thickTop="1" thickBot="1" x14ac:dyDescent="0.35">
      <c r="A95" s="3" t="s">
        <v>36</v>
      </c>
      <c r="B95" s="3" t="b">
        <f t="shared" si="4"/>
        <v>0</v>
      </c>
      <c r="C95" s="3" t="str">
        <f t="shared" si="5"/>
        <v>J INTL-SPA</v>
      </c>
      <c r="D95" s="4" t="s">
        <v>118</v>
      </c>
      <c r="E95" s="4"/>
      <c r="F95" s="4" t="s">
        <v>262</v>
      </c>
      <c r="G95" s="3" t="s">
        <v>117</v>
      </c>
      <c r="H95" s="20" t="s">
        <v>36</v>
      </c>
      <c r="I95" s="6"/>
    </row>
    <row r="96" spans="1:9" ht="20.25" thickTop="1" thickBot="1" x14ac:dyDescent="0.35">
      <c r="A96" s="3" t="s">
        <v>36</v>
      </c>
      <c r="B96" s="3" t="b">
        <f t="shared" si="4"/>
        <v>1</v>
      </c>
      <c r="C96" s="3" t="str">
        <f t="shared" si="5"/>
        <v>J INTL-SPA</v>
      </c>
      <c r="D96" s="4" t="s">
        <v>118</v>
      </c>
      <c r="E96" s="4">
        <v>999.99</v>
      </c>
      <c r="F96" s="4" t="s">
        <v>256</v>
      </c>
      <c r="G96" s="3" t="s">
        <v>125</v>
      </c>
      <c r="H96" s="20" t="s">
        <v>36</v>
      </c>
      <c r="I96" s="6"/>
    </row>
    <row r="97" spans="1:9" ht="20.25" thickTop="1" thickBot="1" x14ac:dyDescent="0.35">
      <c r="A97" s="3" t="s">
        <v>36</v>
      </c>
      <c r="B97" s="3" t="b">
        <f t="shared" si="4"/>
        <v>0</v>
      </c>
      <c r="C97" s="3" t="str">
        <f t="shared" si="5"/>
        <v>J INTL-SPA BIO</v>
      </c>
      <c r="D97" s="4" t="s">
        <v>118</v>
      </c>
      <c r="E97" s="4" t="s">
        <v>63</v>
      </c>
      <c r="F97" s="4" t="s">
        <v>270</v>
      </c>
      <c r="G97" s="3" t="s">
        <v>131</v>
      </c>
      <c r="H97" s="20" t="s">
        <v>36</v>
      </c>
      <c r="I97" s="6"/>
    </row>
    <row r="98" spans="1:9" ht="20.25" thickTop="1" thickBot="1" x14ac:dyDescent="0.35">
      <c r="A98" s="3" t="s">
        <v>36</v>
      </c>
      <c r="B98" s="3" t="b">
        <f t="shared" si="4"/>
        <v>0</v>
      </c>
      <c r="C98" s="3" t="str">
        <f t="shared" si="5"/>
        <v>INTL-SPA FIC</v>
      </c>
      <c r="D98" s="4" t="s">
        <v>195</v>
      </c>
      <c r="E98" s="4" t="s">
        <v>187</v>
      </c>
      <c r="F98" s="4" t="s">
        <v>272</v>
      </c>
      <c r="G98" s="3" t="s">
        <v>194</v>
      </c>
      <c r="H98" s="20" t="s">
        <v>36</v>
      </c>
      <c r="I98" s="6"/>
    </row>
    <row r="99" spans="1:9" ht="20.25" thickTop="1" thickBot="1" x14ac:dyDescent="0.35">
      <c r="A99" s="3" t="s">
        <v>36</v>
      </c>
      <c r="B99" s="3" t="b">
        <f t="shared" si="4"/>
        <v>1</v>
      </c>
      <c r="C99" s="3" t="str">
        <f t="shared" si="5"/>
        <v>INTL-SPA</v>
      </c>
      <c r="D99" s="4" t="s">
        <v>195</v>
      </c>
      <c r="E99" s="4">
        <v>999.99</v>
      </c>
      <c r="F99" s="4" t="s">
        <v>273</v>
      </c>
      <c r="G99" s="3" t="s">
        <v>202</v>
      </c>
      <c r="H99" s="20" t="s">
        <v>36</v>
      </c>
      <c r="I99" s="6"/>
    </row>
    <row r="100" spans="1:9" ht="20.25" thickTop="1" thickBot="1" x14ac:dyDescent="0.35">
      <c r="A100" s="3" t="s">
        <v>36</v>
      </c>
      <c r="B100" s="3" t="b">
        <f t="shared" ref="B100:B131" si="6">ISNUMBER(E100)</f>
        <v>0</v>
      </c>
      <c r="C100" s="3" t="str">
        <f t="shared" ref="C100:C131" si="7">TRIM(D100&amp;IF(NOT(B100)," "&amp;E100,""))</f>
        <v>INTL-SPA BIO</v>
      </c>
      <c r="D100" s="4" t="s">
        <v>195</v>
      </c>
      <c r="E100" s="4" t="s">
        <v>63</v>
      </c>
      <c r="F100" s="4" t="s">
        <v>270</v>
      </c>
      <c r="G100" s="3" t="s">
        <v>208</v>
      </c>
      <c r="H100" s="20" t="s">
        <v>36</v>
      </c>
      <c r="I100" s="6"/>
    </row>
    <row r="101" spans="1:9" ht="20.25" thickTop="1" thickBot="1" x14ac:dyDescent="0.35">
      <c r="A101" s="3" t="s">
        <v>36</v>
      </c>
      <c r="B101" s="3" t="b">
        <f t="shared" si="6"/>
        <v>0</v>
      </c>
      <c r="C101" s="3" t="str">
        <f t="shared" si="7"/>
        <v>TEEN INTL-SPA</v>
      </c>
      <c r="D101" s="4" t="s">
        <v>231</v>
      </c>
      <c r="E101" s="4"/>
      <c r="F101" s="4" t="s">
        <v>283</v>
      </c>
      <c r="G101" s="3" t="s">
        <v>230</v>
      </c>
      <c r="H101" s="20" t="s">
        <v>36</v>
      </c>
      <c r="I101" s="6"/>
    </row>
    <row r="102" spans="1:9" ht="20.25" thickTop="1" thickBot="1" x14ac:dyDescent="0.35">
      <c r="A102" s="3" t="s">
        <v>36</v>
      </c>
      <c r="B102" s="3" t="b">
        <f t="shared" si="6"/>
        <v>1</v>
      </c>
      <c r="C102" s="3" t="str">
        <f t="shared" si="7"/>
        <v>TEEN INTL-SPA</v>
      </c>
      <c r="D102" s="4" t="s">
        <v>231</v>
      </c>
      <c r="E102" s="4">
        <v>999.99</v>
      </c>
      <c r="F102" s="4" t="s">
        <v>284</v>
      </c>
      <c r="G102" s="3" t="s">
        <v>238</v>
      </c>
      <c r="H102" s="20" t="s">
        <v>36</v>
      </c>
      <c r="I102" s="6"/>
    </row>
    <row r="103" spans="1:9" ht="20.25" thickTop="1" thickBot="1" x14ac:dyDescent="0.35">
      <c r="A103" s="3" t="s">
        <v>36</v>
      </c>
      <c r="B103" s="3" t="b">
        <f t="shared" si="6"/>
        <v>0</v>
      </c>
      <c r="C103" s="3" t="str">
        <f t="shared" si="7"/>
        <v>TEEN INTL-SPA BIO</v>
      </c>
      <c r="D103" s="4" t="s">
        <v>231</v>
      </c>
      <c r="E103" s="4" t="s">
        <v>63</v>
      </c>
      <c r="F103" s="4" t="s">
        <v>270</v>
      </c>
      <c r="G103" s="3" t="s">
        <v>245</v>
      </c>
      <c r="H103" s="20" t="s">
        <v>36</v>
      </c>
      <c r="I103" s="6"/>
    </row>
    <row r="104" spans="1:9" ht="20.25" thickTop="1" thickBot="1" x14ac:dyDescent="0.35">
      <c r="A104" s="3" t="s">
        <v>37</v>
      </c>
      <c r="B104" s="3" t="b">
        <f t="shared" si="6"/>
        <v>0</v>
      </c>
      <c r="C104" s="3" t="str">
        <f t="shared" si="7"/>
        <v>E INTL-VIE</v>
      </c>
      <c r="D104" s="4" t="s">
        <v>80</v>
      </c>
      <c r="E104" s="4"/>
      <c r="F104" s="4" t="s">
        <v>261</v>
      </c>
      <c r="G104" s="3" t="s">
        <v>79</v>
      </c>
      <c r="H104" s="20" t="s">
        <v>37</v>
      </c>
      <c r="I104" s="6"/>
    </row>
    <row r="105" spans="1:9" ht="20.25" thickTop="1" thickBot="1" x14ac:dyDescent="0.35">
      <c r="A105" s="3" t="s">
        <v>37</v>
      </c>
      <c r="B105" s="3" t="b">
        <f t="shared" si="6"/>
        <v>1</v>
      </c>
      <c r="C105" s="3" t="str">
        <f t="shared" si="7"/>
        <v>E INTL-VIE</v>
      </c>
      <c r="D105" s="4" t="s">
        <v>90</v>
      </c>
      <c r="E105" s="4">
        <v>999.99</v>
      </c>
      <c r="F105" s="4" t="s">
        <v>256</v>
      </c>
      <c r="G105" s="3" t="s">
        <v>89</v>
      </c>
      <c r="H105" s="20" t="s">
        <v>37</v>
      </c>
      <c r="I105" s="6"/>
    </row>
    <row r="106" spans="1:9" ht="20.25" thickTop="1" thickBot="1" x14ac:dyDescent="0.35">
      <c r="A106" s="3" t="s">
        <v>37</v>
      </c>
      <c r="B106" s="3" t="b">
        <f t="shared" si="6"/>
        <v>0</v>
      </c>
      <c r="C106" s="3" t="str">
        <f t="shared" si="7"/>
        <v>J INTL-VIE</v>
      </c>
      <c r="D106" s="4" t="s">
        <v>120</v>
      </c>
      <c r="E106" s="4"/>
      <c r="F106" s="4" t="s">
        <v>262</v>
      </c>
      <c r="G106" s="3" t="s">
        <v>119</v>
      </c>
      <c r="H106" s="20" t="s">
        <v>37</v>
      </c>
      <c r="I106" s="6"/>
    </row>
    <row r="107" spans="1:9" ht="20.25" thickTop="1" thickBot="1" x14ac:dyDescent="0.35">
      <c r="A107" s="3" t="s">
        <v>37</v>
      </c>
      <c r="B107" s="3" t="b">
        <f t="shared" si="6"/>
        <v>1</v>
      </c>
      <c r="C107" s="3" t="str">
        <f t="shared" si="7"/>
        <v>J INTL-VIE</v>
      </c>
      <c r="D107" s="4" t="s">
        <v>120</v>
      </c>
      <c r="E107" s="4">
        <v>999.99</v>
      </c>
      <c r="F107" s="4" t="s">
        <v>256</v>
      </c>
      <c r="G107" s="3" t="s">
        <v>126</v>
      </c>
      <c r="H107" s="20" t="s">
        <v>37</v>
      </c>
      <c r="I107" s="6"/>
    </row>
    <row r="108" spans="1:9" ht="20.25" thickTop="1" thickBot="1" x14ac:dyDescent="0.35">
      <c r="A108" s="3" t="s">
        <v>37</v>
      </c>
      <c r="B108" s="3" t="b">
        <f t="shared" si="6"/>
        <v>0</v>
      </c>
      <c r="C108" s="3" t="str">
        <f t="shared" si="7"/>
        <v>J INTL-VIE BIO</v>
      </c>
      <c r="D108" s="4" t="s">
        <v>120</v>
      </c>
      <c r="E108" s="4" t="s">
        <v>63</v>
      </c>
      <c r="F108" s="4" t="s">
        <v>270</v>
      </c>
      <c r="G108" s="3" t="s">
        <v>132</v>
      </c>
      <c r="H108" s="20" t="s">
        <v>37</v>
      </c>
      <c r="I108" s="6"/>
    </row>
    <row r="109" spans="1:9" ht="20.25" thickTop="1" thickBot="1" x14ac:dyDescent="0.35">
      <c r="A109" s="3" t="s">
        <v>37</v>
      </c>
      <c r="B109" s="3" t="b">
        <f t="shared" si="6"/>
        <v>0</v>
      </c>
      <c r="C109" s="3" t="str">
        <f t="shared" si="7"/>
        <v>INTL-VIE FIC</v>
      </c>
      <c r="D109" s="4" t="s">
        <v>197</v>
      </c>
      <c r="E109" s="4" t="s">
        <v>187</v>
      </c>
      <c r="F109" s="4" t="s">
        <v>272</v>
      </c>
      <c r="G109" s="3" t="s">
        <v>196</v>
      </c>
      <c r="H109" s="20" t="s">
        <v>37</v>
      </c>
      <c r="I109" s="6"/>
    </row>
    <row r="110" spans="1:9" ht="20.25" thickTop="1" thickBot="1" x14ac:dyDescent="0.35">
      <c r="A110" s="3" t="s">
        <v>37</v>
      </c>
      <c r="B110" s="3" t="b">
        <f t="shared" si="6"/>
        <v>1</v>
      </c>
      <c r="C110" s="3" t="str">
        <f t="shared" si="7"/>
        <v>INTL-VIE</v>
      </c>
      <c r="D110" s="4" t="s">
        <v>197</v>
      </c>
      <c r="E110" s="4">
        <v>999.99</v>
      </c>
      <c r="F110" s="4" t="s">
        <v>273</v>
      </c>
      <c r="G110" s="3" t="s">
        <v>203</v>
      </c>
      <c r="H110" s="20" t="s">
        <v>37</v>
      </c>
      <c r="I110" s="6"/>
    </row>
    <row r="111" spans="1:9" ht="20.25" thickTop="1" thickBot="1" x14ac:dyDescent="0.35">
      <c r="A111" s="3" t="s">
        <v>37</v>
      </c>
      <c r="B111" s="3" t="b">
        <f t="shared" si="6"/>
        <v>0</v>
      </c>
      <c r="C111" s="3" t="str">
        <f t="shared" si="7"/>
        <v>INTL-VIE BIO</v>
      </c>
      <c r="D111" s="4" t="s">
        <v>197</v>
      </c>
      <c r="E111" s="4" t="s">
        <v>63</v>
      </c>
      <c r="F111" s="4" t="s">
        <v>270</v>
      </c>
      <c r="G111" s="3" t="s">
        <v>209</v>
      </c>
      <c r="H111" s="20" t="s">
        <v>37</v>
      </c>
      <c r="I111" s="6"/>
    </row>
    <row r="112" spans="1:9" ht="20.25" thickTop="1" thickBot="1" x14ac:dyDescent="0.35">
      <c r="A112" s="3" t="s">
        <v>37</v>
      </c>
      <c r="B112" s="3" t="b">
        <f t="shared" si="6"/>
        <v>0</v>
      </c>
      <c r="C112" s="3" t="str">
        <f t="shared" si="7"/>
        <v>TEEN INTL-VIE</v>
      </c>
      <c r="D112" s="4" t="s">
        <v>233</v>
      </c>
      <c r="E112" s="4"/>
      <c r="F112" s="4" t="s">
        <v>283</v>
      </c>
      <c r="G112" s="3" t="s">
        <v>232</v>
      </c>
      <c r="H112" s="20" t="s">
        <v>37</v>
      </c>
      <c r="I112" s="6"/>
    </row>
    <row r="113" spans="1:9" ht="20.25" thickTop="1" thickBot="1" x14ac:dyDescent="0.35">
      <c r="A113" s="3" t="s">
        <v>37</v>
      </c>
      <c r="B113" s="3" t="b">
        <f t="shared" si="6"/>
        <v>1</v>
      </c>
      <c r="C113" s="3" t="str">
        <f t="shared" si="7"/>
        <v>TEEN INTL-VIE</v>
      </c>
      <c r="D113" s="4" t="s">
        <v>233</v>
      </c>
      <c r="E113" s="4">
        <v>999.99</v>
      </c>
      <c r="F113" s="4" t="s">
        <v>284</v>
      </c>
      <c r="G113" s="3" t="s">
        <v>239</v>
      </c>
      <c r="H113" s="20" t="s">
        <v>37</v>
      </c>
      <c r="I113" s="6"/>
    </row>
    <row r="114" spans="1:9" ht="20.25" thickTop="1" thickBot="1" x14ac:dyDescent="0.35">
      <c r="A114" s="3" t="s">
        <v>37</v>
      </c>
      <c r="B114" s="3" t="b">
        <f t="shared" si="6"/>
        <v>0</v>
      </c>
      <c r="C114" s="3" t="str">
        <f t="shared" si="7"/>
        <v>TEEN INTL-VIE BIO</v>
      </c>
      <c r="D114" s="4" t="s">
        <v>233</v>
      </c>
      <c r="E114" s="4" t="s">
        <v>63</v>
      </c>
      <c r="F114" s="4" t="s">
        <v>270</v>
      </c>
      <c r="G114" s="3" t="s">
        <v>246</v>
      </c>
      <c r="H114" s="20" t="s">
        <v>37</v>
      </c>
      <c r="I114" s="6"/>
    </row>
    <row r="115" spans="1:9" ht="20.25" thickTop="1" thickBot="1" x14ac:dyDescent="0.35">
      <c r="A115" s="3" t="s">
        <v>5</v>
      </c>
      <c r="B115" s="3" t="b">
        <f t="shared" si="6"/>
        <v>0</v>
      </c>
      <c r="C115" s="3" t="str">
        <f t="shared" si="7"/>
        <v>DVD</v>
      </c>
      <c r="D115" s="4" t="s">
        <v>56</v>
      </c>
      <c r="E115" s="4"/>
      <c r="F115" s="4" t="s">
        <v>277</v>
      </c>
      <c r="G115" s="3" t="s">
        <v>145</v>
      </c>
      <c r="H115" s="20" t="s">
        <v>5</v>
      </c>
      <c r="I115" s="6"/>
    </row>
    <row r="116" spans="1:9" ht="20.25" thickTop="1" thickBot="1" x14ac:dyDescent="0.35">
      <c r="A116" s="3" t="s">
        <v>6</v>
      </c>
      <c r="B116" s="3" t="b">
        <f t="shared" si="6"/>
        <v>0</v>
      </c>
      <c r="C116" s="3" t="str">
        <f t="shared" si="7"/>
        <v>DVD</v>
      </c>
      <c r="D116" s="4" t="s">
        <v>56</v>
      </c>
      <c r="E116" s="4"/>
      <c r="F116" s="4" t="s">
        <v>277</v>
      </c>
      <c r="G116" s="3" t="s">
        <v>145</v>
      </c>
      <c r="H116" s="20" t="s">
        <v>6</v>
      </c>
      <c r="I116" s="6"/>
    </row>
    <row r="117" spans="1:9" ht="20.25" thickTop="1" thickBot="1" x14ac:dyDescent="0.35">
      <c r="A117" s="3" t="s">
        <v>8</v>
      </c>
      <c r="B117" s="3" t="b">
        <f t="shared" si="6"/>
        <v>0</v>
      </c>
      <c r="C117" s="3" t="str">
        <f t="shared" si="7"/>
        <v>DVD</v>
      </c>
      <c r="D117" s="4" t="s">
        <v>56</v>
      </c>
      <c r="E117" s="4"/>
      <c r="F117" s="4" t="s">
        <v>277</v>
      </c>
      <c r="G117" s="3" t="s">
        <v>145</v>
      </c>
      <c r="H117" s="20" t="s">
        <v>8</v>
      </c>
      <c r="I117" s="6"/>
    </row>
    <row r="118" spans="1:9" ht="20.25" thickTop="1" thickBot="1" x14ac:dyDescent="0.35">
      <c r="A118" s="3" t="s">
        <v>9</v>
      </c>
      <c r="B118" s="3" t="b">
        <f t="shared" si="6"/>
        <v>0</v>
      </c>
      <c r="C118" s="3" t="str">
        <f t="shared" si="7"/>
        <v>DVD</v>
      </c>
      <c r="D118" s="4" t="s">
        <v>56</v>
      </c>
      <c r="E118" s="4"/>
      <c r="F118" s="4" t="s">
        <v>277</v>
      </c>
      <c r="G118" s="3" t="s">
        <v>145</v>
      </c>
      <c r="H118" s="20" t="s">
        <v>9</v>
      </c>
      <c r="I118" s="6"/>
    </row>
    <row r="119" spans="1:9" ht="20.25" thickTop="1" thickBot="1" x14ac:dyDescent="0.35">
      <c r="A119" s="3" t="s">
        <v>10</v>
      </c>
      <c r="B119" s="3" t="b">
        <f t="shared" si="6"/>
        <v>0</v>
      </c>
      <c r="C119" s="3" t="str">
        <f t="shared" si="7"/>
        <v>DVD</v>
      </c>
      <c r="D119" s="4" t="s">
        <v>56</v>
      </c>
      <c r="E119" s="4"/>
      <c r="F119" s="4" t="s">
        <v>277</v>
      </c>
      <c r="G119" s="3" t="s">
        <v>145</v>
      </c>
      <c r="H119" s="20" t="s">
        <v>10</v>
      </c>
      <c r="I119" s="6"/>
    </row>
    <row r="120" spans="1:9" ht="20.25" thickTop="1" thickBot="1" x14ac:dyDescent="0.35">
      <c r="A120" s="3" t="s">
        <v>11</v>
      </c>
      <c r="B120" s="3" t="b">
        <f t="shared" si="6"/>
        <v>0</v>
      </c>
      <c r="C120" s="3" t="str">
        <f t="shared" si="7"/>
        <v>DVD</v>
      </c>
      <c r="D120" s="4" t="s">
        <v>56</v>
      </c>
      <c r="E120" s="4"/>
      <c r="F120" s="4" t="s">
        <v>277</v>
      </c>
      <c r="G120" s="3" t="s">
        <v>145</v>
      </c>
      <c r="H120" s="20" t="s">
        <v>11</v>
      </c>
      <c r="I120" s="6"/>
    </row>
    <row r="121" spans="1:9" ht="20.25" thickTop="1" thickBot="1" x14ac:dyDescent="0.35">
      <c r="A121" s="3" t="s">
        <v>12</v>
      </c>
      <c r="B121" s="3" t="b">
        <f t="shared" si="6"/>
        <v>0</v>
      </c>
      <c r="C121" s="3" t="str">
        <f t="shared" si="7"/>
        <v>DVD</v>
      </c>
      <c r="D121" s="4" t="s">
        <v>56</v>
      </c>
      <c r="E121" s="4"/>
      <c r="F121" s="4" t="s">
        <v>277</v>
      </c>
      <c r="G121" s="3" t="s">
        <v>145</v>
      </c>
      <c r="H121" s="20" t="s">
        <v>12</v>
      </c>
      <c r="I121" s="6"/>
    </row>
    <row r="122" spans="1:9" ht="20.25" thickTop="1" thickBot="1" x14ac:dyDescent="0.35">
      <c r="A122" s="3" t="s">
        <v>7</v>
      </c>
      <c r="B122" s="3" t="b">
        <f t="shared" si="6"/>
        <v>0</v>
      </c>
      <c r="C122" s="3" t="str">
        <f t="shared" si="7"/>
        <v>DVD</v>
      </c>
      <c r="D122" s="4" t="s">
        <v>56</v>
      </c>
      <c r="E122" s="4"/>
      <c r="F122" s="4" t="s">
        <v>277</v>
      </c>
      <c r="G122" s="3" t="s">
        <v>145</v>
      </c>
      <c r="H122" s="20" t="s">
        <v>7</v>
      </c>
      <c r="I122" s="6"/>
    </row>
    <row r="123" spans="1:9" ht="20.25" thickTop="1" thickBot="1" x14ac:dyDescent="0.35">
      <c r="A123" s="3" t="s">
        <v>13</v>
      </c>
      <c r="B123" s="3" t="b">
        <f t="shared" si="6"/>
        <v>0</v>
      </c>
      <c r="C123" s="3" t="str">
        <f t="shared" si="7"/>
        <v>DVD</v>
      </c>
      <c r="D123" s="4" t="s">
        <v>56</v>
      </c>
      <c r="E123" s="4"/>
      <c r="F123" s="4" t="s">
        <v>277</v>
      </c>
      <c r="G123" s="3" t="s">
        <v>145</v>
      </c>
      <c r="H123" s="20" t="s">
        <v>13</v>
      </c>
      <c r="I123" s="6"/>
    </row>
    <row r="124" spans="1:9" ht="20.25" thickTop="1" thickBot="1" x14ac:dyDescent="0.35">
      <c r="A124" s="3" t="s">
        <v>14</v>
      </c>
      <c r="B124" s="3" t="b">
        <f t="shared" si="6"/>
        <v>0</v>
      </c>
      <c r="C124" s="3" t="str">
        <f t="shared" si="7"/>
        <v>DVD</v>
      </c>
      <c r="D124" s="4" t="s">
        <v>56</v>
      </c>
      <c r="E124" s="4"/>
      <c r="F124" s="4" t="s">
        <v>277</v>
      </c>
      <c r="G124" s="3" t="s">
        <v>145</v>
      </c>
      <c r="H124" s="20" t="s">
        <v>14</v>
      </c>
      <c r="I124" s="6"/>
    </row>
    <row r="125" spans="1:9" ht="20.25" thickTop="1" thickBot="1" x14ac:dyDescent="0.35">
      <c r="A125" s="3" t="s">
        <v>15</v>
      </c>
      <c r="B125" s="3" t="b">
        <f t="shared" si="6"/>
        <v>0</v>
      </c>
      <c r="C125" s="3" t="str">
        <f t="shared" si="7"/>
        <v>DVD</v>
      </c>
      <c r="D125" s="4" t="s">
        <v>56</v>
      </c>
      <c r="E125" s="4"/>
      <c r="F125" s="4" t="s">
        <v>277</v>
      </c>
      <c r="G125" s="3" t="s">
        <v>145</v>
      </c>
      <c r="H125" s="20" t="s">
        <v>15</v>
      </c>
      <c r="I125" s="6"/>
    </row>
    <row r="126" spans="1:9" ht="20.25" thickTop="1" thickBot="1" x14ac:dyDescent="0.35">
      <c r="A126" s="3" t="s">
        <v>16</v>
      </c>
      <c r="B126" s="3" t="b">
        <f t="shared" si="6"/>
        <v>0</v>
      </c>
      <c r="C126" s="3" t="str">
        <f t="shared" si="7"/>
        <v>DVD</v>
      </c>
      <c r="D126" s="4" t="s">
        <v>56</v>
      </c>
      <c r="E126" s="4"/>
      <c r="F126" s="4" t="s">
        <v>277</v>
      </c>
      <c r="G126" s="3" t="s">
        <v>145</v>
      </c>
      <c r="H126" s="20" t="s">
        <v>16</v>
      </c>
      <c r="I126" s="6"/>
    </row>
    <row r="127" spans="1:9" ht="20.25" thickTop="1" thickBot="1" x14ac:dyDescent="0.35">
      <c r="A127" s="3" t="s">
        <v>17</v>
      </c>
      <c r="B127" s="3" t="b">
        <f t="shared" si="6"/>
        <v>0</v>
      </c>
      <c r="C127" s="3" t="str">
        <f t="shared" si="7"/>
        <v>DVD</v>
      </c>
      <c r="D127" s="4" t="s">
        <v>56</v>
      </c>
      <c r="E127" s="4"/>
      <c r="F127" s="4" t="s">
        <v>277</v>
      </c>
      <c r="G127" s="3" t="s">
        <v>145</v>
      </c>
      <c r="H127" s="20" t="s">
        <v>17</v>
      </c>
      <c r="I127" s="6"/>
    </row>
    <row r="128" spans="1:9" ht="20.25" thickTop="1" thickBot="1" x14ac:dyDescent="0.35">
      <c r="A128" s="3" t="s">
        <v>18</v>
      </c>
      <c r="B128" s="3" t="b">
        <f t="shared" si="6"/>
        <v>0</v>
      </c>
      <c r="C128" s="3" t="str">
        <f t="shared" si="7"/>
        <v>DVD</v>
      </c>
      <c r="D128" s="4" t="s">
        <v>56</v>
      </c>
      <c r="E128" s="4"/>
      <c r="F128" s="4" t="s">
        <v>277</v>
      </c>
      <c r="G128" s="3" t="s">
        <v>145</v>
      </c>
      <c r="H128" s="20" t="s">
        <v>18</v>
      </c>
      <c r="I128" s="6"/>
    </row>
    <row r="129" spans="1:9" ht="20.25" thickTop="1" thickBot="1" x14ac:dyDescent="0.35">
      <c r="A129" s="3" t="s">
        <v>38</v>
      </c>
      <c r="B129" s="3" t="b">
        <f t="shared" si="6"/>
        <v>0</v>
      </c>
      <c r="C129" s="3" t="str">
        <f t="shared" si="7"/>
        <v>CD A</v>
      </c>
      <c r="D129" s="4" t="s">
        <v>142</v>
      </c>
      <c r="E129" s="4" t="s">
        <v>153</v>
      </c>
      <c r="F129" s="4" t="s">
        <v>281</v>
      </c>
      <c r="G129" s="3" t="s">
        <v>152</v>
      </c>
      <c r="H129" s="20" t="s">
        <v>38</v>
      </c>
      <c r="I129" s="6"/>
    </row>
    <row r="130" spans="1:9" ht="20.25" thickTop="1" thickBot="1" x14ac:dyDescent="0.35">
      <c r="A130" s="3" t="s">
        <v>38</v>
      </c>
      <c r="B130" s="3" t="b">
        <f t="shared" si="6"/>
        <v>0</v>
      </c>
      <c r="C130" s="3" t="str">
        <f t="shared" si="7"/>
        <v>CD B</v>
      </c>
      <c r="D130" s="4" t="s">
        <v>142</v>
      </c>
      <c r="E130" s="4" t="s">
        <v>154</v>
      </c>
      <c r="F130" s="4" t="s">
        <v>281</v>
      </c>
      <c r="G130" s="3" t="s">
        <v>152</v>
      </c>
      <c r="H130" s="20" t="s">
        <v>38</v>
      </c>
      <c r="I130" s="6"/>
    </row>
    <row r="131" spans="1:9" ht="20.25" thickTop="1" thickBot="1" x14ac:dyDescent="0.35">
      <c r="A131" s="3" t="s">
        <v>38</v>
      </c>
      <c r="B131" s="3" t="b">
        <f t="shared" si="6"/>
        <v>0</v>
      </c>
      <c r="C131" s="3" t="str">
        <f t="shared" si="7"/>
        <v>CD C</v>
      </c>
      <c r="D131" s="4" t="s">
        <v>142</v>
      </c>
      <c r="E131" s="4" t="s">
        <v>155</v>
      </c>
      <c r="F131" s="4" t="s">
        <v>281</v>
      </c>
      <c r="G131" s="3" t="s">
        <v>152</v>
      </c>
      <c r="H131" s="20" t="s">
        <v>38</v>
      </c>
      <c r="I131" s="6"/>
    </row>
    <row r="132" spans="1:9" ht="20.25" thickTop="1" thickBot="1" x14ac:dyDescent="0.35">
      <c r="A132" s="3" t="s">
        <v>38</v>
      </c>
      <c r="B132" s="3" t="b">
        <f t="shared" ref="B132:B166" si="8">ISNUMBER(E132)</f>
        <v>0</v>
      </c>
      <c r="C132" s="3" t="str">
        <f t="shared" ref="C132:C164" si="9">TRIM(D132&amp;IF(NOT(B132)," "&amp;E132,""))</f>
        <v>CD D</v>
      </c>
      <c r="D132" s="4" t="s">
        <v>142</v>
      </c>
      <c r="E132" s="4" t="s">
        <v>156</v>
      </c>
      <c r="F132" s="4" t="s">
        <v>281</v>
      </c>
      <c r="G132" s="3" t="s">
        <v>152</v>
      </c>
      <c r="H132" s="20" t="s">
        <v>38</v>
      </c>
      <c r="I132" s="6"/>
    </row>
    <row r="133" spans="1:9" ht="20.25" thickTop="1" thickBot="1" x14ac:dyDescent="0.35">
      <c r="A133" s="3" t="s">
        <v>38</v>
      </c>
      <c r="B133" s="3" t="b">
        <f t="shared" si="8"/>
        <v>0</v>
      </c>
      <c r="C133" s="3" t="str">
        <f t="shared" si="9"/>
        <v>CD DG</v>
      </c>
      <c r="D133" s="4" t="s">
        <v>142</v>
      </c>
      <c r="E133" s="4" t="s">
        <v>157</v>
      </c>
      <c r="F133" s="4" t="s">
        <v>281</v>
      </c>
      <c r="G133" s="3" t="s">
        <v>152</v>
      </c>
      <c r="H133" s="20" t="s">
        <v>38</v>
      </c>
      <c r="I133" s="6"/>
    </row>
    <row r="134" spans="1:9" ht="20.25" thickTop="1" thickBot="1" x14ac:dyDescent="0.35">
      <c r="A134" s="3" t="s">
        <v>38</v>
      </c>
      <c r="B134" s="3" t="b">
        <f t="shared" si="8"/>
        <v>0</v>
      </c>
      <c r="C134" s="3" t="str">
        <f t="shared" si="9"/>
        <v>CD DO</v>
      </c>
      <c r="D134" s="4" t="s">
        <v>142</v>
      </c>
      <c r="E134" s="4" t="s">
        <v>158</v>
      </c>
      <c r="F134" s="4" t="s">
        <v>281</v>
      </c>
      <c r="G134" s="3" t="s">
        <v>152</v>
      </c>
      <c r="H134" s="20" t="s">
        <v>38</v>
      </c>
      <c r="I134" s="6"/>
    </row>
    <row r="135" spans="1:9" ht="20.25" thickTop="1" thickBot="1" x14ac:dyDescent="0.35">
      <c r="A135" s="3" t="s">
        <v>38</v>
      </c>
      <c r="B135" s="3" t="b">
        <f t="shared" si="8"/>
        <v>0</v>
      </c>
      <c r="C135" s="3" t="str">
        <f t="shared" si="9"/>
        <v>CD DP</v>
      </c>
      <c r="D135" s="4" t="s">
        <v>142</v>
      </c>
      <c r="E135" s="4" t="s">
        <v>159</v>
      </c>
      <c r="F135" s="4" t="s">
        <v>281</v>
      </c>
      <c r="G135" s="3" t="s">
        <v>152</v>
      </c>
      <c r="H135" s="20" t="s">
        <v>38</v>
      </c>
      <c r="I135" s="6"/>
    </row>
    <row r="136" spans="1:9" ht="20.25" thickTop="1" thickBot="1" x14ac:dyDescent="0.35">
      <c r="A136" s="3" t="s">
        <v>38</v>
      </c>
      <c r="B136" s="3" t="b">
        <f t="shared" si="8"/>
        <v>0</v>
      </c>
      <c r="C136" s="3" t="str">
        <f t="shared" si="9"/>
        <v>CD DS</v>
      </c>
      <c r="D136" s="4" t="s">
        <v>142</v>
      </c>
      <c r="E136" s="4" t="s">
        <v>160</v>
      </c>
      <c r="F136" s="4" t="s">
        <v>281</v>
      </c>
      <c r="G136" s="3" t="s">
        <v>152</v>
      </c>
      <c r="H136" s="20" t="s">
        <v>38</v>
      </c>
      <c r="I136" s="6"/>
    </row>
    <row r="137" spans="1:9" ht="20.25" thickTop="1" thickBot="1" x14ac:dyDescent="0.35">
      <c r="A137" s="3" t="s">
        <v>38</v>
      </c>
      <c r="B137" s="3" t="b">
        <f t="shared" si="8"/>
        <v>0</v>
      </c>
      <c r="C137" s="3" t="str">
        <f t="shared" si="9"/>
        <v>CD DV</v>
      </c>
      <c r="D137" s="4" t="s">
        <v>142</v>
      </c>
      <c r="E137" s="4" t="s">
        <v>161</v>
      </c>
      <c r="F137" s="4" t="s">
        <v>281</v>
      </c>
      <c r="G137" s="3" t="s">
        <v>152</v>
      </c>
      <c r="H137" s="20" t="s">
        <v>38</v>
      </c>
      <c r="I137" s="6"/>
    </row>
    <row r="138" spans="1:9" ht="20.25" thickTop="1" thickBot="1" x14ac:dyDescent="0.35">
      <c r="A138" s="3" t="s">
        <v>38</v>
      </c>
      <c r="B138" s="3" t="b">
        <f t="shared" si="8"/>
        <v>0</v>
      </c>
      <c r="C138" s="3" t="str">
        <f t="shared" si="9"/>
        <v>CD DW</v>
      </c>
      <c r="D138" s="4" t="s">
        <v>142</v>
      </c>
      <c r="E138" s="4" t="s">
        <v>162</v>
      </c>
      <c r="F138" s="4" t="s">
        <v>281</v>
      </c>
      <c r="G138" s="3" t="s">
        <v>152</v>
      </c>
      <c r="H138" s="20" t="s">
        <v>38</v>
      </c>
      <c r="I138" s="6"/>
    </row>
    <row r="139" spans="1:9" ht="20.25" thickTop="1" thickBot="1" x14ac:dyDescent="0.35">
      <c r="A139" s="3" t="s">
        <v>38</v>
      </c>
      <c r="B139" s="3" t="b">
        <f t="shared" si="8"/>
        <v>0</v>
      </c>
      <c r="C139" s="3" t="str">
        <f t="shared" si="9"/>
        <v>CD DX</v>
      </c>
      <c r="D139" s="4" t="s">
        <v>142</v>
      </c>
      <c r="E139" s="4" t="s">
        <v>163</v>
      </c>
      <c r="F139" s="4" t="s">
        <v>281</v>
      </c>
      <c r="G139" s="3" t="s">
        <v>152</v>
      </c>
      <c r="H139" s="20" t="s">
        <v>38</v>
      </c>
      <c r="I139" s="6"/>
    </row>
    <row r="140" spans="1:9" ht="20.25" thickTop="1" thickBot="1" x14ac:dyDescent="0.35">
      <c r="A140" s="3" t="s">
        <v>38</v>
      </c>
      <c r="B140" s="3" t="b">
        <f t="shared" si="8"/>
        <v>0</v>
      </c>
      <c r="C140" s="3" t="str">
        <f t="shared" si="9"/>
        <v>CD E</v>
      </c>
      <c r="D140" s="4" t="s">
        <v>142</v>
      </c>
      <c r="E140" s="4" t="s">
        <v>58</v>
      </c>
      <c r="F140" s="4" t="s">
        <v>281</v>
      </c>
      <c r="G140" s="3" t="s">
        <v>152</v>
      </c>
      <c r="H140" s="20" t="s">
        <v>38</v>
      </c>
      <c r="I140" s="6"/>
    </row>
    <row r="141" spans="1:9" ht="20.25" thickTop="1" thickBot="1" x14ac:dyDescent="0.35">
      <c r="A141" s="3" t="s">
        <v>38</v>
      </c>
      <c r="B141" s="3" t="b">
        <f t="shared" si="8"/>
        <v>0</v>
      </c>
      <c r="C141" s="3" t="str">
        <f t="shared" si="9"/>
        <v>CD F</v>
      </c>
      <c r="D141" s="4" t="s">
        <v>142</v>
      </c>
      <c r="E141" s="4" t="s">
        <v>164</v>
      </c>
      <c r="F141" s="4" t="s">
        <v>281</v>
      </c>
      <c r="G141" s="3" t="s">
        <v>152</v>
      </c>
      <c r="H141" s="20" t="s">
        <v>38</v>
      </c>
      <c r="I141" s="6"/>
    </row>
    <row r="142" spans="1:9" ht="20.25" thickTop="1" thickBot="1" x14ac:dyDescent="0.35">
      <c r="A142" s="3" t="s">
        <v>38</v>
      </c>
      <c r="B142" s="3" t="b">
        <f t="shared" si="8"/>
        <v>0</v>
      </c>
      <c r="C142" s="3" t="str">
        <f t="shared" si="9"/>
        <v>CD G</v>
      </c>
      <c r="D142" s="4" t="s">
        <v>142</v>
      </c>
      <c r="E142" s="4" t="s">
        <v>165</v>
      </c>
      <c r="F142" s="4" t="s">
        <v>281</v>
      </c>
      <c r="G142" s="3" t="s">
        <v>152</v>
      </c>
      <c r="H142" s="20" t="s">
        <v>38</v>
      </c>
      <c r="I142" s="6"/>
    </row>
    <row r="143" spans="1:9" ht="20.25" thickTop="1" thickBot="1" x14ac:dyDescent="0.35">
      <c r="A143" s="3" t="s">
        <v>38</v>
      </c>
      <c r="B143" s="3" t="b">
        <f t="shared" si="8"/>
        <v>0</v>
      </c>
      <c r="C143" s="3" t="str">
        <f t="shared" si="9"/>
        <v>CD H</v>
      </c>
      <c r="D143" s="4" t="s">
        <v>142</v>
      </c>
      <c r="E143" s="4" t="s">
        <v>166</v>
      </c>
      <c r="F143" s="4" t="s">
        <v>281</v>
      </c>
      <c r="G143" s="3" t="s">
        <v>152</v>
      </c>
      <c r="H143" s="20" t="s">
        <v>38</v>
      </c>
      <c r="I143" s="6"/>
    </row>
    <row r="144" spans="1:9" ht="20.25" thickTop="1" thickBot="1" x14ac:dyDescent="0.35">
      <c r="A144" s="3" t="s">
        <v>38</v>
      </c>
      <c r="B144" s="3" t="b">
        <f t="shared" si="8"/>
        <v>0</v>
      </c>
      <c r="C144" s="3" t="str">
        <f t="shared" si="9"/>
        <v>CD K</v>
      </c>
      <c r="D144" s="4" t="s">
        <v>142</v>
      </c>
      <c r="E144" s="4" t="s">
        <v>167</v>
      </c>
      <c r="F144" s="4" t="s">
        <v>281</v>
      </c>
      <c r="G144" s="3" t="s">
        <v>152</v>
      </c>
      <c r="H144" s="20" t="s">
        <v>38</v>
      </c>
      <c r="I144" s="6"/>
    </row>
    <row r="145" spans="1:9" ht="20.25" thickTop="1" thickBot="1" x14ac:dyDescent="0.35">
      <c r="A145" s="3" t="s">
        <v>38</v>
      </c>
      <c r="B145" s="3" t="b">
        <f t="shared" si="8"/>
        <v>0</v>
      </c>
      <c r="C145" s="3" t="str">
        <f t="shared" si="9"/>
        <v>CD L</v>
      </c>
      <c r="D145" s="4" t="s">
        <v>142</v>
      </c>
      <c r="E145" s="4" t="s">
        <v>168</v>
      </c>
      <c r="F145" s="4" t="s">
        <v>281</v>
      </c>
      <c r="G145" s="3" t="s">
        <v>152</v>
      </c>
      <c r="H145" s="20" t="s">
        <v>38</v>
      </c>
      <c r="I145" s="6"/>
    </row>
    <row r="146" spans="1:9" ht="20.25" thickTop="1" thickBot="1" x14ac:dyDescent="0.35">
      <c r="A146" s="3" t="s">
        <v>38</v>
      </c>
      <c r="B146" s="3" t="b">
        <f t="shared" si="8"/>
        <v>0</v>
      </c>
      <c r="C146" s="3" t="str">
        <f t="shared" si="9"/>
        <v>CD M</v>
      </c>
      <c r="D146" s="4" t="s">
        <v>142</v>
      </c>
      <c r="E146" s="4" t="s">
        <v>169</v>
      </c>
      <c r="F146" s="4" t="s">
        <v>281</v>
      </c>
      <c r="G146" s="3" t="s">
        <v>152</v>
      </c>
      <c r="H146" s="20" t="s">
        <v>38</v>
      </c>
      <c r="I146" s="6"/>
    </row>
    <row r="147" spans="1:9" ht="20.25" thickTop="1" thickBot="1" x14ac:dyDescent="0.35">
      <c r="A147" s="3" t="s">
        <v>38</v>
      </c>
      <c r="B147" s="3" t="b">
        <f t="shared" si="8"/>
        <v>0</v>
      </c>
      <c r="C147" s="3" t="str">
        <f t="shared" si="9"/>
        <v>CD MA</v>
      </c>
      <c r="D147" s="4" t="s">
        <v>142</v>
      </c>
      <c r="E147" s="4" t="s">
        <v>170</v>
      </c>
      <c r="F147" s="4" t="s">
        <v>281</v>
      </c>
      <c r="G147" s="3" t="s">
        <v>152</v>
      </c>
      <c r="H147" s="20" t="s">
        <v>38</v>
      </c>
      <c r="I147" s="6"/>
    </row>
    <row r="148" spans="1:9" ht="20.25" thickTop="1" thickBot="1" x14ac:dyDescent="0.35">
      <c r="A148" s="3" t="s">
        <v>38</v>
      </c>
      <c r="B148" s="3" t="b">
        <f t="shared" si="8"/>
        <v>0</v>
      </c>
      <c r="C148" s="3" t="str">
        <f t="shared" si="9"/>
        <v>CD MC</v>
      </c>
      <c r="D148" s="4" t="s">
        <v>142</v>
      </c>
      <c r="E148" s="4" t="s">
        <v>171</v>
      </c>
      <c r="F148" s="4" t="s">
        <v>281</v>
      </c>
      <c r="G148" s="3" t="s">
        <v>152</v>
      </c>
      <c r="H148" s="20" t="s">
        <v>38</v>
      </c>
      <c r="I148" s="6"/>
    </row>
    <row r="149" spans="1:9" ht="20.25" thickTop="1" thickBot="1" x14ac:dyDescent="0.35">
      <c r="A149" s="3" t="s">
        <v>38</v>
      </c>
      <c r="B149" s="3" t="b">
        <f t="shared" si="8"/>
        <v>0</v>
      </c>
      <c r="C149" s="3" t="str">
        <f t="shared" si="9"/>
        <v>CD ME</v>
      </c>
      <c r="D149" s="4" t="s">
        <v>142</v>
      </c>
      <c r="E149" s="4" t="s">
        <v>172</v>
      </c>
      <c r="F149" s="4" t="s">
        <v>281</v>
      </c>
      <c r="G149" s="3" t="s">
        <v>152</v>
      </c>
      <c r="H149" s="20" t="s">
        <v>38</v>
      </c>
      <c r="I149" s="6"/>
    </row>
    <row r="150" spans="1:9" ht="20.25" thickTop="1" thickBot="1" x14ac:dyDescent="0.35">
      <c r="A150" s="3" t="s">
        <v>38</v>
      </c>
      <c r="B150" s="3" t="b">
        <f t="shared" si="8"/>
        <v>0</v>
      </c>
      <c r="C150" s="3" t="str">
        <f t="shared" si="9"/>
        <v>CD MH</v>
      </c>
      <c r="D150" s="4" t="s">
        <v>142</v>
      </c>
      <c r="E150" s="4" t="s">
        <v>173</v>
      </c>
      <c r="F150" s="4" t="s">
        <v>281</v>
      </c>
      <c r="G150" s="3" t="s">
        <v>152</v>
      </c>
      <c r="H150" s="20" t="s">
        <v>38</v>
      </c>
      <c r="I150" s="6"/>
    </row>
    <row r="151" spans="1:9" ht="20.25" thickTop="1" thickBot="1" x14ac:dyDescent="0.35">
      <c r="A151" s="3" t="s">
        <v>38</v>
      </c>
      <c r="B151" s="3" t="b">
        <f t="shared" si="8"/>
        <v>0</v>
      </c>
      <c r="C151" s="3" t="str">
        <f t="shared" si="9"/>
        <v>CD MI</v>
      </c>
      <c r="D151" s="4" t="s">
        <v>142</v>
      </c>
      <c r="E151" s="4" t="s">
        <v>174</v>
      </c>
      <c r="F151" s="4" t="s">
        <v>281</v>
      </c>
      <c r="G151" s="3" t="s">
        <v>152</v>
      </c>
      <c r="H151" s="20" t="s">
        <v>38</v>
      </c>
      <c r="I151" s="6"/>
    </row>
    <row r="152" spans="1:9" ht="20.25" thickTop="1" thickBot="1" x14ac:dyDescent="0.35">
      <c r="A152" s="3" t="s">
        <v>38</v>
      </c>
      <c r="B152" s="3" t="b">
        <f t="shared" si="8"/>
        <v>0</v>
      </c>
      <c r="C152" s="3" t="str">
        <f t="shared" si="9"/>
        <v>CD MR</v>
      </c>
      <c r="D152" s="4" t="s">
        <v>142</v>
      </c>
      <c r="E152" s="4" t="s">
        <v>175</v>
      </c>
      <c r="F152" s="4" t="s">
        <v>281</v>
      </c>
      <c r="G152" s="3" t="s">
        <v>152</v>
      </c>
      <c r="H152" s="20" t="s">
        <v>38</v>
      </c>
      <c r="I152" s="6"/>
    </row>
    <row r="153" spans="1:9" ht="20.25" thickTop="1" thickBot="1" x14ac:dyDescent="0.35">
      <c r="A153" s="3" t="s">
        <v>38</v>
      </c>
      <c r="B153" s="3" t="b">
        <f t="shared" si="8"/>
        <v>0</v>
      </c>
      <c r="C153" s="3" t="str">
        <f t="shared" si="9"/>
        <v>CD P</v>
      </c>
      <c r="D153" s="4" t="s">
        <v>142</v>
      </c>
      <c r="E153" s="4" t="s">
        <v>176</v>
      </c>
      <c r="F153" s="4" t="s">
        <v>281</v>
      </c>
      <c r="G153" s="3" t="s">
        <v>152</v>
      </c>
      <c r="H153" s="20" t="s">
        <v>38</v>
      </c>
      <c r="I153" s="6"/>
    </row>
    <row r="154" spans="1:9" ht="20.25" thickTop="1" thickBot="1" x14ac:dyDescent="0.35">
      <c r="A154" s="3" t="s">
        <v>38</v>
      </c>
      <c r="B154" s="3" t="b">
        <f t="shared" si="8"/>
        <v>0</v>
      </c>
      <c r="C154" s="3" t="str">
        <f t="shared" si="9"/>
        <v>CD R</v>
      </c>
      <c r="D154" s="4" t="s">
        <v>142</v>
      </c>
      <c r="E154" s="4" t="s">
        <v>177</v>
      </c>
      <c r="F154" s="4" t="s">
        <v>281</v>
      </c>
      <c r="G154" s="3" t="s">
        <v>152</v>
      </c>
      <c r="H154" s="20" t="s">
        <v>38</v>
      </c>
      <c r="I154" s="6"/>
    </row>
    <row r="155" spans="1:9" ht="20.25" thickTop="1" thickBot="1" x14ac:dyDescent="0.35">
      <c r="A155" s="3" t="s">
        <v>38</v>
      </c>
      <c r="B155" s="3" t="b">
        <f t="shared" si="8"/>
        <v>0</v>
      </c>
      <c r="C155" s="3" t="str">
        <f t="shared" si="9"/>
        <v>CD S</v>
      </c>
      <c r="D155" s="4" t="s">
        <v>142</v>
      </c>
      <c r="E155" s="4" t="s">
        <v>178</v>
      </c>
      <c r="F155" s="4" t="s">
        <v>281</v>
      </c>
      <c r="G155" s="3" t="s">
        <v>152</v>
      </c>
      <c r="H155" s="20" t="s">
        <v>38</v>
      </c>
      <c r="I155" s="6"/>
    </row>
    <row r="156" spans="1:9" ht="20.25" thickTop="1" thickBot="1" x14ac:dyDescent="0.35">
      <c r="A156" s="3" t="s">
        <v>38</v>
      </c>
      <c r="B156" s="3" t="b">
        <f t="shared" si="8"/>
        <v>0</v>
      </c>
      <c r="C156" s="3" t="str">
        <f t="shared" si="9"/>
        <v>CD U</v>
      </c>
      <c r="D156" s="4" t="s">
        <v>142</v>
      </c>
      <c r="E156" s="5" t="s">
        <v>179</v>
      </c>
      <c r="F156" s="4" t="s">
        <v>281</v>
      </c>
      <c r="G156" s="3" t="s">
        <v>152</v>
      </c>
      <c r="H156" s="20" t="s">
        <v>38</v>
      </c>
      <c r="I156" s="6"/>
    </row>
    <row r="157" spans="1:9" ht="20.25" thickTop="1" thickBot="1" x14ac:dyDescent="0.35">
      <c r="A157" s="1" t="s">
        <v>49</v>
      </c>
      <c r="B157" s="3" t="b">
        <f t="shared" si="8"/>
        <v>0</v>
      </c>
      <c r="C157" s="3" t="str">
        <f t="shared" si="9"/>
        <v/>
      </c>
      <c r="D157" s="4"/>
      <c r="E157" s="4"/>
      <c r="F157" s="4" t="s">
        <v>255</v>
      </c>
      <c r="G157" s="1" t="s">
        <v>49</v>
      </c>
      <c r="H157" s="20" t="s">
        <v>49</v>
      </c>
      <c r="I157" s="6"/>
    </row>
    <row r="158" spans="1:9" ht="20.25" thickTop="1" thickBot="1" x14ac:dyDescent="0.35">
      <c r="A158" s="3" t="s">
        <v>39</v>
      </c>
      <c r="B158" s="3" t="b">
        <f t="shared" si="8"/>
        <v>0</v>
      </c>
      <c r="C158" s="3" t="str">
        <f t="shared" si="9"/>
        <v/>
      </c>
      <c r="D158" s="4"/>
      <c r="E158" s="4"/>
      <c r="F158" s="4" t="s">
        <v>255</v>
      </c>
      <c r="G158" s="3" t="s">
        <v>39</v>
      </c>
      <c r="H158" s="20" t="s">
        <v>39</v>
      </c>
      <c r="I158" s="6"/>
    </row>
    <row r="159" spans="1:9" ht="20.25" thickTop="1" thickBot="1" x14ac:dyDescent="0.35">
      <c r="A159" s="14" t="s">
        <v>3</v>
      </c>
      <c r="B159" s="14" t="b">
        <f>ISNUMBER(E159)</f>
        <v>0</v>
      </c>
      <c r="C159" s="14" t="str">
        <f>TRIM(D159&amp;IF(NOT(B159)," "&amp;E159,""))</f>
        <v>TEEN</v>
      </c>
      <c r="D159" s="15" t="s">
        <v>210</v>
      </c>
      <c r="E159" s="15"/>
      <c r="F159" s="4" t="s">
        <v>256</v>
      </c>
      <c r="G159" s="14" t="s">
        <v>302</v>
      </c>
      <c r="H159" s="20" t="s">
        <v>3</v>
      </c>
      <c r="I159" s="6"/>
    </row>
    <row r="160" spans="1:9" ht="20.25" thickTop="1" thickBot="1" x14ac:dyDescent="0.35">
      <c r="A160" s="3" t="s">
        <v>51</v>
      </c>
      <c r="B160" s="3" t="b">
        <f t="shared" si="8"/>
        <v>1</v>
      </c>
      <c r="C160" s="3" t="str">
        <f t="shared" si="9"/>
        <v>J REF</v>
      </c>
      <c r="D160" s="4" t="s">
        <v>137</v>
      </c>
      <c r="E160" s="4">
        <v>999.99</v>
      </c>
      <c r="F160" s="4" t="s">
        <v>256</v>
      </c>
      <c r="G160" s="3" t="s">
        <v>136</v>
      </c>
      <c r="H160" s="20" t="s">
        <v>291</v>
      </c>
      <c r="I160" s="6"/>
    </row>
    <row r="161" spans="1:9" ht="20.25" thickTop="1" thickBot="1" x14ac:dyDescent="0.35">
      <c r="A161" s="3" t="s">
        <v>181</v>
      </c>
      <c r="B161" s="3" t="b">
        <f t="shared" si="8"/>
        <v>1</v>
      </c>
      <c r="C161" s="3" t="str">
        <f t="shared" si="9"/>
        <v>REF</v>
      </c>
      <c r="D161" s="4" t="s">
        <v>182</v>
      </c>
      <c r="E161" s="4">
        <v>999.99</v>
      </c>
      <c r="F161" s="4" t="s">
        <v>256</v>
      </c>
      <c r="G161" s="3" t="s">
        <v>180</v>
      </c>
      <c r="H161" s="20" t="s">
        <v>291</v>
      </c>
      <c r="I161" s="6"/>
    </row>
    <row r="162" spans="1:9" ht="20.25" thickTop="1" thickBot="1" x14ac:dyDescent="0.35">
      <c r="A162" s="3" t="s">
        <v>51</v>
      </c>
      <c r="B162" s="3" t="b">
        <f t="shared" si="8"/>
        <v>1</v>
      </c>
      <c r="C162" s="3" t="str">
        <f t="shared" si="9"/>
        <v>CD-ROM</v>
      </c>
      <c r="D162" s="4" t="s">
        <v>184</v>
      </c>
      <c r="E162" s="4">
        <v>999.99</v>
      </c>
      <c r="F162" s="4" t="s">
        <v>282</v>
      </c>
      <c r="G162" s="3" t="s">
        <v>183</v>
      </c>
      <c r="H162" s="20" t="s">
        <v>291</v>
      </c>
      <c r="I162" s="6"/>
    </row>
    <row r="163" spans="1:9" ht="20.25" thickTop="1" thickBot="1" x14ac:dyDescent="0.35">
      <c r="A163" s="3" t="s">
        <v>51</v>
      </c>
      <c r="B163" s="3" t="b">
        <f t="shared" si="8"/>
        <v>1</v>
      </c>
      <c r="C163" s="3" t="str">
        <f t="shared" si="9"/>
        <v>TEEN REF</v>
      </c>
      <c r="D163" s="4" t="s">
        <v>221</v>
      </c>
      <c r="E163" s="4">
        <v>999.99</v>
      </c>
      <c r="F163" s="4" t="s">
        <v>256</v>
      </c>
      <c r="G163" s="3" t="s">
        <v>220</v>
      </c>
      <c r="H163" s="20" t="s">
        <v>291</v>
      </c>
      <c r="I163" s="6"/>
    </row>
    <row r="164" spans="1:9" ht="20.25" thickTop="1" thickBot="1" x14ac:dyDescent="0.35">
      <c r="A164" s="3"/>
      <c r="B164" s="3" t="b">
        <f t="shared" si="8"/>
        <v>0</v>
      </c>
      <c r="C164" s="3" t="str">
        <f t="shared" si="9"/>
        <v>TEEN EXPLORE</v>
      </c>
      <c r="D164" s="4" t="s">
        <v>248</v>
      </c>
      <c r="E164" s="4"/>
      <c r="F164" s="4" t="s">
        <v>255</v>
      </c>
      <c r="G164" s="3" t="s">
        <v>247</v>
      </c>
      <c r="H164" s="20" t="s">
        <v>291</v>
      </c>
      <c r="I164" s="6"/>
    </row>
    <row r="165" spans="1:9" ht="20.25" thickTop="1" thickBot="1" x14ac:dyDescent="0.35">
      <c r="A165" s="3"/>
      <c r="B165" s="3" t="b">
        <f t="shared" si="8"/>
        <v>0</v>
      </c>
      <c r="C165" s="3" t="str">
        <f t="shared" ref="C165:C166" si="10">TRIM(D165&amp;IF(NOT(B165)," "&amp;E165,""))</f>
        <v>APBK</v>
      </c>
      <c r="D165" s="4" t="s">
        <v>250</v>
      </c>
      <c r="E165" s="4"/>
      <c r="F165" s="4" t="s">
        <v>255</v>
      </c>
      <c r="G165" s="1" t="s">
        <v>249</v>
      </c>
      <c r="H165" s="20" t="s">
        <v>291</v>
      </c>
      <c r="I165" s="6"/>
    </row>
    <row r="166" spans="1:9" ht="20.25" thickTop="1" thickBot="1" x14ac:dyDescent="0.35">
      <c r="A166" s="3"/>
      <c r="B166" s="3" t="b">
        <f t="shared" si="8"/>
        <v>0</v>
      </c>
      <c r="C166" s="3" t="str">
        <f t="shared" si="10"/>
        <v>TPBK</v>
      </c>
      <c r="D166" s="4" t="s">
        <v>252</v>
      </c>
      <c r="E166" s="4"/>
      <c r="F166" s="4" t="s">
        <v>255</v>
      </c>
      <c r="G166" s="1" t="s">
        <v>251</v>
      </c>
      <c r="H166" s="20" t="s">
        <v>291</v>
      </c>
      <c r="I166" s="6"/>
    </row>
    <row r="167" spans="1:9" ht="20.25" thickTop="1" thickBot="1" x14ac:dyDescent="0.35">
      <c r="A167" s="8" t="s">
        <v>301</v>
      </c>
      <c r="B167" s="8" t="b">
        <f>ISNUMBER(E167)</f>
        <v>0</v>
      </c>
      <c r="C167" s="8" t="str">
        <f>TRIM(D167&amp;IF(NOT(B167)," "&amp;E167,""))</f>
        <v/>
      </c>
      <c r="D167" s="9"/>
      <c r="E167" s="9"/>
      <c r="F167" s="9"/>
      <c r="G167" s="8" t="s">
        <v>300</v>
      </c>
      <c r="H167" s="20" t="s">
        <v>308</v>
      </c>
      <c r="I167" s="6"/>
    </row>
    <row r="168" spans="1:9" ht="20.25" thickTop="1" thickBot="1" x14ac:dyDescent="0.35">
      <c r="A168" s="14"/>
      <c r="B168" s="14" t="b">
        <f>ISNUMBER(E168)</f>
        <v>0</v>
      </c>
      <c r="C168" s="14" t="str">
        <f>TRIM(D168&amp;IF(NOT(B168)," "&amp;E168,""))</f>
        <v/>
      </c>
      <c r="D168" s="15"/>
      <c r="E168" s="15"/>
      <c r="F168" s="15"/>
      <c r="G168" s="14" t="s">
        <v>300</v>
      </c>
      <c r="H168" s="20" t="s">
        <v>308</v>
      </c>
      <c r="I168" s="6"/>
    </row>
    <row r="169" spans="1:9" ht="19.5" thickTop="1" x14ac:dyDescent="0.3">
      <c r="B169"/>
      <c r="C169"/>
      <c r="D169"/>
      <c r="E169"/>
      <c r="F169"/>
      <c r="G169"/>
      <c r="I169"/>
    </row>
    <row r="170" spans="1:9" x14ac:dyDescent="0.3">
      <c r="B170"/>
      <c r="C170"/>
      <c r="D170"/>
      <c r="E170"/>
      <c r="F170"/>
      <c r="G170"/>
      <c r="I170"/>
    </row>
    <row r="171" spans="1:9" x14ac:dyDescent="0.3">
      <c r="B171"/>
      <c r="C171"/>
      <c r="D171"/>
      <c r="E171"/>
      <c r="F171"/>
      <c r="G171"/>
      <c r="I171"/>
    </row>
    <row r="172" spans="1:9" x14ac:dyDescent="0.3">
      <c r="B172"/>
      <c r="C172"/>
      <c r="D172"/>
      <c r="E172"/>
      <c r="F172"/>
      <c r="G172"/>
      <c r="I172"/>
    </row>
    <row r="173" spans="1:9" x14ac:dyDescent="0.3">
      <c r="B173"/>
      <c r="C173"/>
      <c r="D173"/>
      <c r="E173"/>
      <c r="F173"/>
      <c r="G173"/>
      <c r="I173"/>
    </row>
    <row r="174" spans="1:9" x14ac:dyDescent="0.3">
      <c r="B174"/>
      <c r="C174"/>
      <c r="D174"/>
      <c r="E174"/>
      <c r="F174"/>
      <c r="G174"/>
      <c r="I174"/>
    </row>
    <row r="175" spans="1:9" x14ac:dyDescent="0.3">
      <c r="B175"/>
      <c r="C175"/>
      <c r="D175"/>
      <c r="E175"/>
      <c r="F175"/>
      <c r="G175"/>
      <c r="I175"/>
    </row>
    <row r="176" spans="1:9" x14ac:dyDescent="0.3">
      <c r="B176"/>
      <c r="C176"/>
      <c r="D176"/>
      <c r="E176"/>
      <c r="F176"/>
      <c r="G176"/>
      <c r="I176"/>
    </row>
    <row r="177" spans="2:9" x14ac:dyDescent="0.3">
      <c r="B177"/>
      <c r="C177"/>
      <c r="D177"/>
      <c r="E177"/>
      <c r="F177"/>
      <c r="G177"/>
      <c r="I177"/>
    </row>
    <row r="178" spans="2:9" x14ac:dyDescent="0.3">
      <c r="B178"/>
      <c r="C178"/>
      <c r="D178"/>
      <c r="E178"/>
      <c r="F178"/>
      <c r="G178"/>
      <c r="I178"/>
    </row>
    <row r="179" spans="2:9" x14ac:dyDescent="0.3">
      <c r="B179"/>
      <c r="C179"/>
      <c r="D179"/>
      <c r="E179"/>
      <c r="F179"/>
      <c r="G179"/>
      <c r="I179"/>
    </row>
    <row r="180" spans="2:9" x14ac:dyDescent="0.3">
      <c r="B180"/>
      <c r="C180"/>
      <c r="D180"/>
      <c r="E180"/>
      <c r="F180"/>
      <c r="G180"/>
      <c r="I180"/>
    </row>
    <row r="181" spans="2:9" x14ac:dyDescent="0.3">
      <c r="B181"/>
      <c r="C181"/>
      <c r="D181"/>
      <c r="E181"/>
      <c r="F181"/>
      <c r="G181"/>
      <c r="I181"/>
    </row>
    <row r="182" spans="2:9" x14ac:dyDescent="0.3">
      <c r="B182"/>
      <c r="C182"/>
      <c r="D182"/>
      <c r="E182"/>
      <c r="F182"/>
      <c r="G182"/>
      <c r="I182"/>
    </row>
    <row r="183" spans="2:9" x14ac:dyDescent="0.3">
      <c r="B183"/>
      <c r="C183"/>
      <c r="D183"/>
      <c r="E183"/>
      <c r="F183"/>
      <c r="G183"/>
      <c r="I183"/>
    </row>
    <row r="184" spans="2:9" x14ac:dyDescent="0.3">
      <c r="B184"/>
      <c r="C184"/>
      <c r="D184"/>
      <c r="E184"/>
      <c r="F184"/>
      <c r="G184"/>
      <c r="I184"/>
    </row>
    <row r="185" spans="2:9" x14ac:dyDescent="0.3">
      <c r="B185"/>
      <c r="C185"/>
      <c r="D185"/>
      <c r="E185"/>
      <c r="F185"/>
      <c r="G185"/>
      <c r="I185"/>
    </row>
    <row r="186" spans="2:9" x14ac:dyDescent="0.3">
      <c r="B186"/>
      <c r="C186"/>
      <c r="D186"/>
      <c r="E186"/>
      <c r="F186"/>
      <c r="G186"/>
      <c r="I186"/>
    </row>
    <row r="187" spans="2:9" x14ac:dyDescent="0.3">
      <c r="B187"/>
      <c r="C187"/>
      <c r="D187"/>
      <c r="E187"/>
      <c r="F187"/>
      <c r="G187"/>
      <c r="I187"/>
    </row>
    <row r="188" spans="2:9" x14ac:dyDescent="0.3">
      <c r="B188"/>
      <c r="C188"/>
      <c r="D188"/>
      <c r="E188"/>
      <c r="F188"/>
      <c r="G188"/>
      <c r="I188"/>
    </row>
    <row r="189" spans="2:9" x14ac:dyDescent="0.3">
      <c r="B189"/>
      <c r="C189"/>
      <c r="D189"/>
      <c r="E189"/>
      <c r="F189"/>
      <c r="G189"/>
      <c r="I189"/>
    </row>
    <row r="190" spans="2:9" x14ac:dyDescent="0.3">
      <c r="B190"/>
      <c r="C190"/>
      <c r="D190"/>
      <c r="E190"/>
      <c r="F190"/>
      <c r="G190"/>
      <c r="I190"/>
    </row>
    <row r="191" spans="2:9" x14ac:dyDescent="0.3">
      <c r="B191"/>
      <c r="C191"/>
      <c r="D191"/>
      <c r="E191"/>
      <c r="F191"/>
      <c r="G191"/>
      <c r="I191"/>
    </row>
    <row r="192" spans="2:9" x14ac:dyDescent="0.3">
      <c r="B192"/>
      <c r="C192"/>
      <c r="D192"/>
      <c r="E192"/>
      <c r="F192"/>
      <c r="G192"/>
      <c r="I192"/>
    </row>
    <row r="193" spans="2:9" x14ac:dyDescent="0.3">
      <c r="B193"/>
      <c r="C193"/>
      <c r="D193"/>
      <c r="E193"/>
      <c r="F193"/>
      <c r="G193"/>
      <c r="I193"/>
    </row>
    <row r="194" spans="2:9" x14ac:dyDescent="0.3">
      <c r="B194"/>
      <c r="C194"/>
      <c r="D194"/>
      <c r="E194"/>
      <c r="F194"/>
      <c r="G194"/>
      <c r="I194"/>
    </row>
    <row r="195" spans="2:9" x14ac:dyDescent="0.3">
      <c r="B195"/>
      <c r="C195"/>
      <c r="D195"/>
      <c r="E195"/>
      <c r="F195"/>
      <c r="G195"/>
      <c r="I195"/>
    </row>
    <row r="196" spans="2:9" x14ac:dyDescent="0.3">
      <c r="B196"/>
      <c r="C196"/>
      <c r="D196"/>
      <c r="E196"/>
      <c r="F196"/>
      <c r="G196"/>
      <c r="I196"/>
    </row>
  </sheetData>
  <printOptions headings="1" gridLines="1"/>
  <pageMargins left="0.7" right="0.7" top="0.75" bottom="0.75" header="0.3" footer="0.3"/>
  <pageSetup paperSize="17"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4102" r:id="rId4" name="Button 6">
              <controlPr defaultSize="0" autoFill="0" autoPict="0" macro="[0]!hideIndex">
                <anchor moveWithCells="1" sizeWithCells="1">
                  <from>
                    <xdr:col>8</xdr:col>
                    <xdr:colOff>390525</xdr:colOff>
                    <xdr:row>0</xdr:row>
                    <xdr:rowOff>457200</xdr:rowOff>
                  </from>
                  <to>
                    <xdr:col>11</xdr:col>
                    <xdr:colOff>342900</xdr:colOff>
                    <xdr:row>4</xdr:row>
                    <xdr:rowOff>133350</xdr:rowOff>
                  </to>
                </anchor>
              </controlPr>
            </control>
          </mc:Choice>
        </mc:AlternateContent>
      </controls>
    </mc:Choice>
  </mc:AlternateContent>
  <tableParts count="1">
    <tablePart r:id="rId5"/>
  </tableParts>
  <extLst>
    <ext xmlns:x14="http://schemas.microsoft.com/office/spreadsheetml/2009/9/main" uri="{CCE6A557-97BC-4b89-ADB6-D9C93CAAB3DF}">
      <x14:dataValidations xmlns:xm="http://schemas.microsoft.com/office/excel/2006/main" count="1">
        <x14:dataValidation type="list" allowBlank="1" showInputMessage="1" showErrorMessage="1">
          <x14:formula1>
            <xm:f>'Ranked Sections'!$A$2:$A$55</xm:f>
          </x14:formula1>
          <xm:sqref>H2:H168</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dimension ref="A1:H55"/>
  <sheetViews>
    <sheetView zoomScale="85" zoomScaleNormal="85" workbookViewId="0">
      <selection activeCell="A7" sqref="A7"/>
    </sheetView>
  </sheetViews>
  <sheetFormatPr defaultColWidth="8.85546875" defaultRowHeight="18" x14ac:dyDescent="0.25"/>
  <cols>
    <col min="1" max="1" width="29.85546875" style="12" bestFit="1" customWidth="1"/>
    <col min="2" max="2" width="19.42578125" style="12" bestFit="1" customWidth="1"/>
    <col min="3" max="6" width="8.85546875" style="13"/>
    <col min="7" max="7" width="8.85546875" style="16"/>
    <col min="8" max="8" width="22.85546875" style="16" hidden="1" customWidth="1"/>
    <col min="9" max="16384" width="8.85546875" style="13"/>
  </cols>
  <sheetData>
    <row r="1" spans="1:8" x14ac:dyDescent="0.25">
      <c r="A1" s="12" t="s">
        <v>296</v>
      </c>
      <c r="B1" s="12" t="s">
        <v>297</v>
      </c>
      <c r="H1" s="16" t="s">
        <v>304</v>
      </c>
    </row>
    <row r="2" spans="1:8" x14ac:dyDescent="0.25">
      <c r="A2" s="11" t="s">
        <v>19</v>
      </c>
      <c r="B2" s="11" t="s">
        <v>55</v>
      </c>
      <c r="H2" s="18" t="s">
        <v>55</v>
      </c>
    </row>
    <row r="3" spans="1:8" x14ac:dyDescent="0.25">
      <c r="A3" s="11" t="s">
        <v>20</v>
      </c>
      <c r="B3" s="11" t="s">
        <v>55</v>
      </c>
      <c r="H3" s="18" t="s">
        <v>42</v>
      </c>
    </row>
    <row r="4" spans="1:8" x14ac:dyDescent="0.25">
      <c r="A4" s="11" t="s">
        <v>21</v>
      </c>
      <c r="B4" s="11" t="s">
        <v>42</v>
      </c>
      <c r="H4" s="17" t="s">
        <v>303</v>
      </c>
    </row>
    <row r="5" spans="1:8" x14ac:dyDescent="0.25">
      <c r="A5" s="11" t="s">
        <v>22</v>
      </c>
      <c r="B5" s="11" t="s">
        <v>42</v>
      </c>
    </row>
    <row r="6" spans="1:8" x14ac:dyDescent="0.25">
      <c r="A6" s="11" t="s">
        <v>3</v>
      </c>
      <c r="B6" s="11" t="s">
        <v>42</v>
      </c>
    </row>
    <row r="7" spans="1:8" x14ac:dyDescent="0.25">
      <c r="A7" s="11" t="s">
        <v>21</v>
      </c>
      <c r="B7" s="11" t="s">
        <v>55</v>
      </c>
    </row>
    <row r="8" spans="1:8" x14ac:dyDescent="0.25">
      <c r="A8" s="11" t="s">
        <v>22</v>
      </c>
      <c r="B8" s="11" t="s">
        <v>55</v>
      </c>
    </row>
    <row r="9" spans="1:8" x14ac:dyDescent="0.25">
      <c r="A9" s="11" t="s">
        <v>3</v>
      </c>
      <c r="B9" s="11" t="s">
        <v>55</v>
      </c>
    </row>
    <row r="10" spans="1:8" x14ac:dyDescent="0.25">
      <c r="A10" s="11" t="s">
        <v>23</v>
      </c>
      <c r="B10" s="11" t="s">
        <v>55</v>
      </c>
    </row>
    <row r="11" spans="1:8" x14ac:dyDescent="0.25">
      <c r="A11" s="11" t="s">
        <v>24</v>
      </c>
      <c r="B11" s="11" t="s">
        <v>55</v>
      </c>
    </row>
    <row r="12" spans="1:8" x14ac:dyDescent="0.25">
      <c r="A12" s="11" t="s">
        <v>25</v>
      </c>
      <c r="B12" s="11" t="s">
        <v>55</v>
      </c>
    </row>
    <row r="13" spans="1:8" x14ac:dyDescent="0.25">
      <c r="A13" s="11" t="s">
        <v>26</v>
      </c>
      <c r="B13" s="11" t="s">
        <v>55</v>
      </c>
    </row>
    <row r="14" spans="1:8" x14ac:dyDescent="0.25">
      <c r="A14" s="11" t="s">
        <v>40</v>
      </c>
      <c r="B14" s="11" t="s">
        <v>55</v>
      </c>
    </row>
    <row r="15" spans="1:8" x14ac:dyDescent="0.25">
      <c r="A15" s="11" t="s">
        <v>27</v>
      </c>
      <c r="B15" s="11" t="s">
        <v>55</v>
      </c>
    </row>
    <row r="16" spans="1:8" x14ac:dyDescent="0.25">
      <c r="A16" s="11" t="s">
        <v>28</v>
      </c>
      <c r="B16" s="11" t="s">
        <v>55</v>
      </c>
    </row>
    <row r="17" spans="1:2" x14ac:dyDescent="0.25">
      <c r="A17" s="11" t="s">
        <v>29</v>
      </c>
      <c r="B17" s="11" t="s">
        <v>55</v>
      </c>
    </row>
    <row r="18" spans="1:2" x14ac:dyDescent="0.25">
      <c r="A18" s="11" t="s">
        <v>30</v>
      </c>
      <c r="B18" s="11" t="s">
        <v>55</v>
      </c>
    </row>
    <row r="19" spans="1:2" x14ac:dyDescent="0.25">
      <c r="A19" s="11" t="s">
        <v>31</v>
      </c>
      <c r="B19" s="11" t="s">
        <v>55</v>
      </c>
    </row>
    <row r="20" spans="1:2" x14ac:dyDescent="0.25">
      <c r="A20" s="11" t="s">
        <v>32</v>
      </c>
      <c r="B20" s="11" t="s">
        <v>55</v>
      </c>
    </row>
    <row r="21" spans="1:2" x14ac:dyDescent="0.25">
      <c r="A21" s="11" t="s">
        <v>29</v>
      </c>
      <c r="B21" s="11" t="s">
        <v>42</v>
      </c>
    </row>
    <row r="22" spans="1:2" x14ac:dyDescent="0.25">
      <c r="A22" s="11" t="s">
        <v>30</v>
      </c>
      <c r="B22" s="11" t="s">
        <v>42</v>
      </c>
    </row>
    <row r="23" spans="1:2" x14ac:dyDescent="0.25">
      <c r="A23" s="11" t="s">
        <v>31</v>
      </c>
      <c r="B23" s="11" t="s">
        <v>42</v>
      </c>
    </row>
    <row r="24" spans="1:2" x14ac:dyDescent="0.25">
      <c r="A24" s="11" t="s">
        <v>32</v>
      </c>
      <c r="B24" s="11" t="s">
        <v>42</v>
      </c>
    </row>
    <row r="25" spans="1:2" x14ac:dyDescent="0.25">
      <c r="A25" s="11" t="s">
        <v>26</v>
      </c>
      <c r="B25" s="11" t="s">
        <v>42</v>
      </c>
    </row>
    <row r="26" spans="1:2" x14ac:dyDescent="0.25">
      <c r="A26" s="11" t="s">
        <v>40</v>
      </c>
      <c r="B26" s="11" t="s">
        <v>42</v>
      </c>
    </row>
    <row r="27" spans="1:2" x14ac:dyDescent="0.25">
      <c r="A27" s="11" t="s">
        <v>19</v>
      </c>
      <c r="B27" s="11" t="s">
        <v>42</v>
      </c>
    </row>
    <row r="28" spans="1:2" x14ac:dyDescent="0.25">
      <c r="A28" s="11" t="s">
        <v>20</v>
      </c>
      <c r="B28" s="11" t="s">
        <v>42</v>
      </c>
    </row>
    <row r="29" spans="1:2" x14ac:dyDescent="0.25">
      <c r="A29" s="11" t="s">
        <v>24</v>
      </c>
      <c r="B29" s="11" t="s">
        <v>42</v>
      </c>
    </row>
    <row r="30" spans="1:2" x14ac:dyDescent="0.25">
      <c r="A30" s="11" t="s">
        <v>25</v>
      </c>
      <c r="B30" s="11" t="s">
        <v>42</v>
      </c>
    </row>
    <row r="31" spans="1:2" x14ac:dyDescent="0.25">
      <c r="A31" s="11" t="s">
        <v>33</v>
      </c>
      <c r="B31" s="11" t="s">
        <v>55</v>
      </c>
    </row>
    <row r="32" spans="1:2" x14ac:dyDescent="0.25">
      <c r="A32" s="11" t="s">
        <v>34</v>
      </c>
      <c r="B32" s="11" t="s">
        <v>55</v>
      </c>
    </row>
    <row r="33" spans="1:2" x14ac:dyDescent="0.25">
      <c r="A33" s="11" t="s">
        <v>35</v>
      </c>
      <c r="B33" s="11" t="s">
        <v>55</v>
      </c>
    </row>
    <row r="34" spans="1:2" x14ac:dyDescent="0.25">
      <c r="A34" s="11" t="s">
        <v>41</v>
      </c>
      <c r="B34" s="11" t="s">
        <v>55</v>
      </c>
    </row>
    <row r="35" spans="1:2" x14ac:dyDescent="0.25">
      <c r="A35" s="11" t="s">
        <v>36</v>
      </c>
      <c r="B35" s="11" t="s">
        <v>55</v>
      </c>
    </row>
    <row r="36" spans="1:2" x14ac:dyDescent="0.25">
      <c r="A36" s="11" t="s">
        <v>37</v>
      </c>
      <c r="B36" s="11" t="s">
        <v>55</v>
      </c>
    </row>
    <row r="37" spans="1:2" x14ac:dyDescent="0.25">
      <c r="A37" s="11" t="s">
        <v>5</v>
      </c>
      <c r="B37" s="11" t="s">
        <v>55</v>
      </c>
    </row>
    <row r="38" spans="1:2" x14ac:dyDescent="0.25">
      <c r="A38" s="11" t="s">
        <v>6</v>
      </c>
      <c r="B38" s="11" t="s">
        <v>55</v>
      </c>
    </row>
    <row r="39" spans="1:2" x14ac:dyDescent="0.25">
      <c r="A39" s="11" t="s">
        <v>8</v>
      </c>
      <c r="B39" s="11" t="s">
        <v>55</v>
      </c>
    </row>
    <row r="40" spans="1:2" x14ac:dyDescent="0.25">
      <c r="A40" s="11" t="s">
        <v>9</v>
      </c>
      <c r="B40" s="11" t="s">
        <v>55</v>
      </c>
    </row>
    <row r="41" spans="1:2" x14ac:dyDescent="0.25">
      <c r="A41" s="11" t="s">
        <v>10</v>
      </c>
      <c r="B41" s="11" t="s">
        <v>55</v>
      </c>
    </row>
    <row r="42" spans="1:2" x14ac:dyDescent="0.25">
      <c r="A42" s="11" t="s">
        <v>11</v>
      </c>
      <c r="B42" s="11" t="s">
        <v>55</v>
      </c>
    </row>
    <row r="43" spans="1:2" x14ac:dyDescent="0.25">
      <c r="A43" s="11" t="s">
        <v>12</v>
      </c>
      <c r="B43" s="11" t="s">
        <v>55</v>
      </c>
    </row>
    <row r="44" spans="1:2" x14ac:dyDescent="0.25">
      <c r="A44" s="11" t="s">
        <v>7</v>
      </c>
      <c r="B44" s="11" t="s">
        <v>55</v>
      </c>
    </row>
    <row r="45" spans="1:2" x14ac:dyDescent="0.25">
      <c r="A45" s="11" t="s">
        <v>13</v>
      </c>
      <c r="B45" s="11" t="s">
        <v>55</v>
      </c>
    </row>
    <row r="46" spans="1:2" x14ac:dyDescent="0.25">
      <c r="A46" s="11" t="s">
        <v>14</v>
      </c>
      <c r="B46" s="11" t="s">
        <v>55</v>
      </c>
    </row>
    <row r="47" spans="1:2" x14ac:dyDescent="0.25">
      <c r="A47" s="11" t="s">
        <v>15</v>
      </c>
      <c r="B47" s="11" t="s">
        <v>55</v>
      </c>
    </row>
    <row r="48" spans="1:2" x14ac:dyDescent="0.25">
      <c r="A48" s="11" t="s">
        <v>16</v>
      </c>
      <c r="B48" s="11" t="s">
        <v>55</v>
      </c>
    </row>
    <row r="49" spans="1:2" x14ac:dyDescent="0.25">
      <c r="A49" s="11" t="s">
        <v>17</v>
      </c>
      <c r="B49" s="11" t="s">
        <v>55</v>
      </c>
    </row>
    <row r="50" spans="1:2" x14ac:dyDescent="0.25">
      <c r="A50" s="11" t="s">
        <v>18</v>
      </c>
      <c r="B50" s="11" t="s">
        <v>55</v>
      </c>
    </row>
    <row r="51" spans="1:2" x14ac:dyDescent="0.25">
      <c r="A51" s="11" t="s">
        <v>38</v>
      </c>
      <c r="B51" s="11" t="s">
        <v>55</v>
      </c>
    </row>
    <row r="52" spans="1:2" x14ac:dyDescent="0.25">
      <c r="A52" s="11" t="s">
        <v>49</v>
      </c>
      <c r="B52" s="11" t="s">
        <v>55</v>
      </c>
    </row>
    <row r="53" spans="1:2" x14ac:dyDescent="0.25">
      <c r="A53" s="11" t="s">
        <v>39</v>
      </c>
      <c r="B53" s="11" t="s">
        <v>55</v>
      </c>
    </row>
    <row r="54" spans="1:2" x14ac:dyDescent="0.25">
      <c r="A54" s="11" t="s">
        <v>291</v>
      </c>
      <c r="B54" s="11" t="s">
        <v>55</v>
      </c>
    </row>
    <row r="55" spans="1:2" x14ac:dyDescent="0.25">
      <c r="A55" s="19" t="s">
        <v>308</v>
      </c>
      <c r="B55" s="19" t="s">
        <v>55</v>
      </c>
    </row>
  </sheetData>
  <sheetProtection selectLockedCells="1"/>
  <dataValidations count="1">
    <dataValidation type="list" showInputMessage="1" showErrorMessage="1" sqref="B2:B55">
      <formula1>$H$2:$H$4</formula1>
    </dataValidation>
  </dataValidations>
  <pageMargins left="0.7" right="0.7" top="0.75" bottom="0.75" header="0.3" footer="0.3"/>
  <pageSetup orientation="portrait" horizontalDpi="4294967295" verticalDpi="4294967295" r:id="rId1"/>
  <drawing r:id="rId2"/>
  <legacyDrawing r:id="rId3"/>
  <mc:AlternateContent xmlns:mc="http://schemas.openxmlformats.org/markup-compatibility/2006">
    <mc:Choice Requires="x14">
      <controls>
        <mc:AlternateContent xmlns:mc="http://schemas.openxmlformats.org/markup-compatibility/2006">
          <mc:Choice Requires="x14">
            <control shapeId="5122" r:id="rId4" name="Button 2">
              <controlPr defaultSize="0" autoFill="0" autoPict="0" macro="[0]!hideSections">
                <anchor moveWithCells="1" sizeWithCells="1">
                  <from>
                    <xdr:col>3</xdr:col>
                    <xdr:colOff>152400</xdr:colOff>
                    <xdr:row>0</xdr:row>
                    <xdr:rowOff>209550</xdr:rowOff>
                  </from>
                  <to>
                    <xdr:col>5</xdr:col>
                    <xdr:colOff>523875</xdr:colOff>
                    <xdr:row>3</xdr:row>
                    <xdr:rowOff>123825</xdr:rowOff>
                  </to>
                </anchor>
              </controlPr>
            </control>
          </mc:Choice>
        </mc:AlternateContent>
      </controls>
    </mc:Choice>
  </mc:AlternateContent>
  <tableParts count="2">
    <tablePart r:id="rId5"/>
    <tablePart r:id="rId6"/>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vt:i4>
      </vt:variant>
      <vt:variant>
        <vt:lpstr>Named Ranges</vt:lpstr>
      </vt:variant>
      <vt:variant>
        <vt:i4>1</vt:i4>
      </vt:variant>
    </vt:vector>
  </HeadingPairs>
  <TitlesOfParts>
    <vt:vector size="4" baseType="lpstr">
      <vt:lpstr>Main</vt:lpstr>
      <vt:lpstr>Index</vt:lpstr>
      <vt:lpstr>Ranked Sections</vt:lpstr>
      <vt:lpstr>callNumMask</vt:lpstr>
    </vt:vector>
  </TitlesOfParts>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Blake Kiltoff</dc:creator>
  <cp:lastModifiedBy>Blake Kiltoff</cp:lastModifiedBy>
  <cp:lastPrinted>2014-10-23T16:20:45Z</cp:lastPrinted>
  <dcterms:created xsi:type="dcterms:W3CDTF">2011-03-31T02:09:26Z</dcterms:created>
  <dcterms:modified xsi:type="dcterms:W3CDTF">2015-07-20T22:04:50Z</dcterms:modified>
</cp:coreProperties>
</file>